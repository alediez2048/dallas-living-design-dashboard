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uarezy\Perkins and Will\Living Design Studio - Southern Region - Documents\General\02_Project Management\Dallas Projects\Performance 2025\"/>
    </mc:Choice>
  </mc:AlternateContent>
  <xr:revisionPtr revIDLastSave="0" documentId="13_ncr:1_{B4F18B9C-1231-47D6-8111-449B5245A312}" xr6:coauthVersionLast="47" xr6:coauthVersionMax="47" xr10:uidLastSave="{00000000-0000-0000-0000-000000000000}"/>
  <bookViews>
    <workbookView xWindow="-96" yWindow="-96" windowWidth="23232" windowHeight="13872" xr2:uid="{19A567E9-1DD9-42F6-BC8D-AD57F266C97B}"/>
  </bookViews>
  <sheets>
    <sheet name="PROJECT APP ('25) Current" sheetId="45" r:id="rId1"/>
  </sheets>
  <definedNames>
    <definedName name="_xlnm._FilterDatabase" localSheetId="0" hidden="1">'PROJECT APP (''25) Current'!$B$1:$BB$22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44" i="45" l="1"/>
  <c r="BD204" i="45"/>
  <c r="AA165" i="45"/>
  <c r="W77" i="45"/>
  <c r="W32" i="45"/>
  <c r="W22" i="45"/>
  <c r="W23" i="45"/>
  <c r="W13" i="45"/>
  <c r="BE193" i="45" l="1"/>
  <c r="BD193" i="45"/>
  <c r="AY193" i="45"/>
  <c r="AZ193" i="45" s="1"/>
  <c r="W193" i="45"/>
  <c r="BE51" i="45"/>
  <c r="BD51" i="45"/>
  <c r="W51" i="45"/>
  <c r="BF51" i="45"/>
  <c r="B7" i="45" l="1"/>
  <c r="BF252" i="45" l="1"/>
  <c r="BE252" i="45"/>
  <c r="BD252" i="45"/>
  <c r="AZ252" i="45"/>
  <c r="BG252" i="45" s="1"/>
  <c r="BD216" i="45"/>
  <c r="BF220" i="45"/>
  <c r="BE220" i="45"/>
  <c r="BD220" i="45"/>
  <c r="AY220" i="45"/>
  <c r="AZ220" i="45" s="1"/>
  <c r="BG220" i="45" s="1"/>
  <c r="W220" i="45"/>
  <c r="BF171" i="45"/>
  <c r="BE171" i="45"/>
  <c r="BD171" i="45"/>
  <c r="AY171" i="45"/>
  <c r="AZ171" i="45" s="1"/>
  <c r="BG171" i="45" s="1"/>
  <c r="BG36" i="45"/>
  <c r="BF36" i="45"/>
  <c r="BE36" i="45"/>
  <c r="BD36" i="45"/>
  <c r="BD246" i="45"/>
  <c r="BD245" i="45"/>
  <c r="BD219" i="45"/>
  <c r="BD203" i="45"/>
  <c r="BD202" i="45"/>
  <c r="BD201" i="45"/>
  <c r="BD217" i="45"/>
  <c r="BD170" i="45"/>
  <c r="BD169" i="45"/>
  <c r="BD168" i="45"/>
  <c r="W168" i="45"/>
  <c r="BF173" i="45"/>
  <c r="BE173" i="45"/>
  <c r="BD173" i="45"/>
  <c r="AY173" i="45"/>
  <c r="AZ173" i="45" s="1"/>
  <c r="BG173" i="45" s="1"/>
  <c r="BG94" i="45"/>
  <c r="BF94" i="45"/>
  <c r="BE94" i="45"/>
  <c r="BD94" i="45"/>
  <c r="BG51" i="45"/>
  <c r="BD50" i="45"/>
  <c r="AA248" i="45"/>
  <c r="AA242" i="45"/>
  <c r="BD77" i="45"/>
  <c r="W199" i="45"/>
  <c r="W196" i="45"/>
  <c r="BD139" i="45"/>
  <c r="W192" i="45"/>
  <c r="BG136" i="45"/>
  <c r="BF136" i="45"/>
  <c r="BE136" i="45"/>
  <c r="BD136" i="45"/>
  <c r="BG135" i="45"/>
  <c r="BF135" i="45"/>
  <c r="BE135" i="45"/>
  <c r="BD135" i="45"/>
  <c r="BE120" i="45"/>
  <c r="BE119" i="45"/>
  <c r="W56" i="45"/>
  <c r="W54" i="45"/>
  <c r="W52" i="45"/>
  <c r="W33" i="45"/>
  <c r="W21" i="45"/>
  <c r="AY12" i="45"/>
  <c r="BD242" i="45"/>
  <c r="BD244" i="45"/>
  <c r="BD248" i="45"/>
  <c r="BD256" i="45"/>
  <c r="BD257" i="45"/>
  <c r="BD258" i="45"/>
  <c r="BD260" i="45"/>
  <c r="BD208" i="45"/>
  <c r="BD209" i="45"/>
  <c r="BD194" i="45"/>
  <c r="BD223" i="45"/>
  <c r="BD196" i="45"/>
  <c r="BD197" i="45"/>
  <c r="BD198" i="45"/>
  <c r="BD199" i="45"/>
  <c r="BD200" i="45"/>
  <c r="BD224" i="45"/>
  <c r="BD225" i="45"/>
  <c r="BD226" i="45"/>
  <c r="BD227" i="45"/>
  <c r="BD228" i="45"/>
  <c r="BD229" i="45"/>
  <c r="BD230" i="45"/>
  <c r="BD231" i="45"/>
  <c r="BD232" i="45"/>
  <c r="BD233" i="45"/>
  <c r="BD234" i="45"/>
  <c r="BD235" i="45"/>
  <c r="BD236" i="45"/>
  <c r="BD237" i="45"/>
  <c r="BD192" i="45"/>
  <c r="BD166" i="45"/>
  <c r="BD167" i="45"/>
  <c r="BD175" i="45"/>
  <c r="BD176" i="45"/>
  <c r="BD177" i="45"/>
  <c r="BD178" i="45"/>
  <c r="BD179" i="45"/>
  <c r="BD180" i="45"/>
  <c r="BD181" i="45"/>
  <c r="BD182" i="45"/>
  <c r="BD183" i="45"/>
  <c r="BD184" i="45"/>
  <c r="BD165" i="45"/>
  <c r="BD49" i="45"/>
  <c r="BD74" i="45"/>
  <c r="BD52" i="45"/>
  <c r="BD53" i="45"/>
  <c r="BD54" i="45"/>
  <c r="BD55" i="45"/>
  <c r="BD56" i="45"/>
  <c r="BD101" i="45"/>
  <c r="BD102" i="45"/>
  <c r="BD103" i="45"/>
  <c r="BD104" i="45"/>
  <c r="BD105" i="45"/>
  <c r="BD133" i="45"/>
  <c r="BD106" i="45"/>
  <c r="BD107" i="45"/>
  <c r="BD108" i="45"/>
  <c r="BD109" i="45"/>
  <c r="BD110" i="45"/>
  <c r="BD115" i="45"/>
  <c r="BD116" i="45"/>
  <c r="BD117" i="45"/>
  <c r="BD118" i="45"/>
  <c r="BD155" i="45"/>
  <c r="BD134" i="45"/>
  <c r="BD142" i="45"/>
  <c r="BD143" i="45"/>
  <c r="BD144" i="45"/>
  <c r="BD145" i="45"/>
  <c r="BD146" i="45"/>
  <c r="BD147" i="45"/>
  <c r="BD148" i="45"/>
  <c r="BD149" i="45"/>
  <c r="BD150" i="45"/>
  <c r="BD151" i="45"/>
  <c r="BD152" i="45"/>
  <c r="BD153" i="45"/>
  <c r="BD154" i="45"/>
  <c r="BD121" i="45"/>
  <c r="BD122" i="45"/>
  <c r="BD123" i="45"/>
  <c r="BD124" i="45"/>
  <c r="BD125" i="45"/>
  <c r="BD126" i="45"/>
  <c r="BD127" i="45"/>
  <c r="BD128" i="45"/>
  <c r="BD129" i="45"/>
  <c r="BD130" i="45"/>
  <c r="BD156" i="45"/>
  <c r="BD157" i="45"/>
  <c r="BD158" i="45"/>
  <c r="BD159" i="45"/>
  <c r="BD160" i="45"/>
  <c r="BD161" i="45"/>
  <c r="BD48" i="45"/>
  <c r="BD32" i="45"/>
  <c r="BD33" i="45"/>
  <c r="BD34" i="45"/>
  <c r="BD35" i="45"/>
  <c r="BD31" i="45"/>
  <c r="BD22" i="45"/>
  <c r="BD21" i="45"/>
  <c r="BD13" i="45"/>
  <c r="BD14" i="45"/>
  <c r="BD16" i="45"/>
  <c r="BD17" i="45"/>
  <c r="BD18" i="45"/>
  <c r="BD12" i="45"/>
  <c r="BF14" i="45"/>
  <c r="AZ265" i="45" l="1"/>
  <c r="BD265" i="45" s="1"/>
  <c r="BE265" i="45"/>
  <c r="BF265" i="45"/>
  <c r="BG226" i="45"/>
  <c r="BF226" i="45"/>
  <c r="BE226" i="45"/>
  <c r="BG225" i="45"/>
  <c r="BF225" i="45"/>
  <c r="BE225" i="45"/>
  <c r="BF55" i="45"/>
  <c r="BE55" i="45"/>
  <c r="AY55" i="45"/>
  <c r="AZ55" i="45" s="1"/>
  <c r="W55" i="45"/>
  <c r="BF54" i="45"/>
  <c r="BE54" i="45"/>
  <c r="AY54" i="45"/>
  <c r="AZ54" i="45" s="1"/>
  <c r="BG53" i="45"/>
  <c r="BF53" i="45"/>
  <c r="BE53" i="45"/>
  <c r="BG55" i="45" l="1"/>
  <c r="BG54" i="45"/>
  <c r="BG52" i="45" l="1"/>
  <c r="BF52" i="45"/>
  <c r="BE52" i="45"/>
  <c r="BE256" i="45" l="1"/>
  <c r="BF248" i="45"/>
  <c r="BE248" i="45"/>
  <c r="AY248" i="45"/>
  <c r="AZ248" i="45" s="1"/>
  <c r="BG248" i="45" s="1"/>
  <c r="BG74" i="45" l="1"/>
  <c r="BG102" i="45"/>
  <c r="BG103" i="45"/>
  <c r="BG104" i="45"/>
  <c r="BG105" i="45"/>
  <c r="BG133" i="45"/>
  <c r="BG106" i="45"/>
  <c r="BG107" i="45"/>
  <c r="BG108" i="45"/>
  <c r="BG109" i="45"/>
  <c r="BG110" i="45"/>
  <c r="BG115" i="45"/>
  <c r="BG116" i="45"/>
  <c r="BG117" i="45"/>
  <c r="BG118" i="45"/>
  <c r="BG155" i="45"/>
  <c r="BG134" i="45"/>
  <c r="BG142" i="45"/>
  <c r="BG143" i="45"/>
  <c r="BG144" i="45"/>
  <c r="BG145" i="45"/>
  <c r="BG146" i="45"/>
  <c r="BG147" i="45"/>
  <c r="BG148" i="45"/>
  <c r="BG149" i="45"/>
  <c r="BG150" i="45"/>
  <c r="BG151" i="45"/>
  <c r="BG152" i="45"/>
  <c r="BG153" i="45"/>
  <c r="BG154" i="45"/>
  <c r="BG121" i="45"/>
  <c r="BG122" i="45"/>
  <c r="BG123" i="45"/>
  <c r="BG124" i="45"/>
  <c r="BG125" i="45"/>
  <c r="BG126" i="45"/>
  <c r="BG127" i="45"/>
  <c r="BG128" i="45"/>
  <c r="BG129" i="45"/>
  <c r="BG130" i="45"/>
  <c r="BG32" i="45"/>
  <c r="BG10" i="45"/>
  <c r="BG11" i="45"/>
  <c r="BG18" i="45"/>
  <c r="BE242" i="45"/>
  <c r="BF242" i="45"/>
  <c r="BE244" i="45"/>
  <c r="BF244" i="45"/>
  <c r="BE192" i="45"/>
  <c r="BF192" i="45"/>
  <c r="BF193" i="45"/>
  <c r="BE194" i="45"/>
  <c r="BF194" i="45"/>
  <c r="BE223" i="45"/>
  <c r="BF223" i="45"/>
  <c r="BE196" i="45"/>
  <c r="BF196" i="45"/>
  <c r="BE197" i="45"/>
  <c r="BF197" i="45"/>
  <c r="BE165" i="45"/>
  <c r="BF165" i="45"/>
  <c r="BE166" i="45"/>
  <c r="BF166" i="45"/>
  <c r="BE167" i="45"/>
  <c r="BF167" i="45"/>
  <c r="BE175" i="45"/>
  <c r="BF175" i="45"/>
  <c r="BE176" i="45"/>
  <c r="BF176" i="45"/>
  <c r="BE177" i="45"/>
  <c r="BF177" i="45"/>
  <c r="BE178" i="45"/>
  <c r="BF178" i="45"/>
  <c r="BE179" i="45"/>
  <c r="BF179" i="45"/>
  <c r="BE180" i="45"/>
  <c r="BF180" i="45"/>
  <c r="BE181" i="45"/>
  <c r="BF181" i="45"/>
  <c r="BE182" i="45"/>
  <c r="BF182" i="45"/>
  <c r="BE183" i="45"/>
  <c r="BF183" i="45"/>
  <c r="BE184" i="45"/>
  <c r="BF184" i="45"/>
  <c r="BE49" i="45"/>
  <c r="BF49" i="45"/>
  <c r="BE74" i="45"/>
  <c r="BF74" i="45"/>
  <c r="BE102" i="45"/>
  <c r="BF102" i="45"/>
  <c r="BE103" i="45"/>
  <c r="BF103" i="45"/>
  <c r="BE104" i="45"/>
  <c r="BF104" i="45"/>
  <c r="BE105" i="45"/>
  <c r="BF105" i="45"/>
  <c r="BE133" i="45"/>
  <c r="BF133" i="45"/>
  <c r="BE106" i="45"/>
  <c r="BF106" i="45"/>
  <c r="BE107" i="45"/>
  <c r="BF107" i="45"/>
  <c r="BE108" i="45"/>
  <c r="BF108" i="45"/>
  <c r="BE109" i="45"/>
  <c r="BF109" i="45"/>
  <c r="BE110" i="45"/>
  <c r="BF110" i="45"/>
  <c r="BE115" i="45"/>
  <c r="BF115" i="45"/>
  <c r="BE116" i="45"/>
  <c r="BF116" i="45"/>
  <c r="BE117" i="45"/>
  <c r="BF117" i="45"/>
  <c r="BE118" i="45"/>
  <c r="BF118" i="45"/>
  <c r="BE155" i="45"/>
  <c r="BF155" i="45"/>
  <c r="BE134" i="45"/>
  <c r="BF134" i="45"/>
  <c r="BE142" i="45"/>
  <c r="BF142" i="45"/>
  <c r="BE143" i="45"/>
  <c r="BF143" i="45"/>
  <c r="BE144" i="45"/>
  <c r="BF144" i="45"/>
  <c r="BE145" i="45"/>
  <c r="BF145" i="45"/>
  <c r="BE146" i="45"/>
  <c r="BF146" i="45"/>
  <c r="BE147" i="45"/>
  <c r="BF147" i="45"/>
  <c r="BE148" i="45"/>
  <c r="BF148" i="45"/>
  <c r="BE149" i="45"/>
  <c r="BF149" i="45"/>
  <c r="BE150" i="45"/>
  <c r="BF150" i="45"/>
  <c r="BE151" i="45"/>
  <c r="BF151" i="45"/>
  <c r="BE152" i="45"/>
  <c r="BF152" i="45"/>
  <c r="BE153" i="45"/>
  <c r="BF153" i="45"/>
  <c r="BE154" i="45"/>
  <c r="BF154" i="45"/>
  <c r="BE121" i="45"/>
  <c r="BF121" i="45"/>
  <c r="BE122" i="45"/>
  <c r="BF122" i="45"/>
  <c r="BE123" i="45"/>
  <c r="BF123" i="45"/>
  <c r="BE124" i="45"/>
  <c r="BF124" i="45"/>
  <c r="BE125" i="45"/>
  <c r="BF125" i="45"/>
  <c r="BE126" i="45"/>
  <c r="BF126" i="45"/>
  <c r="BE127" i="45"/>
  <c r="BF127" i="45"/>
  <c r="BE128" i="45"/>
  <c r="BF128" i="45"/>
  <c r="BE129" i="45"/>
  <c r="BF129" i="45"/>
  <c r="BE130" i="45"/>
  <c r="BF130" i="45"/>
  <c r="BF48" i="45"/>
  <c r="BE48" i="45"/>
  <c r="BE32" i="45"/>
  <c r="BF32" i="45"/>
  <c r="BF31" i="45"/>
  <c r="BE31" i="45"/>
  <c r="BE10" i="45"/>
  <c r="BF10" i="45"/>
  <c r="BE11" i="45"/>
  <c r="BF11" i="45"/>
  <c r="BE12" i="45"/>
  <c r="BF12" i="45"/>
  <c r="BE18" i="45"/>
  <c r="BF18" i="45"/>
  <c r="BE20" i="45"/>
  <c r="BE21" i="45"/>
  <c r="BF21" i="45"/>
  <c r="BE22" i="45"/>
  <c r="BF22" i="45"/>
  <c r="BD10" i="45"/>
  <c r="BD11" i="45"/>
  <c r="AY197" i="45"/>
  <c r="AZ197" i="45" s="1"/>
  <c r="W197" i="45"/>
  <c r="AY192" i="45"/>
  <c r="AZ192" i="45" s="1"/>
  <c r="AY194" i="45"/>
  <c r="AZ194" i="45" s="1"/>
  <c r="W223" i="45"/>
  <c r="AY223" i="45"/>
  <c r="AZ223" i="45" s="1"/>
  <c r="AY196" i="45"/>
  <c r="AZ196" i="45" s="1"/>
  <c r="AZ268" i="45"/>
  <c r="AZ269" i="45"/>
  <c r="AZ270" i="45"/>
  <c r="AY166" i="45"/>
  <c r="AZ166" i="45" s="1"/>
  <c r="AY167" i="45"/>
  <c r="AZ167" i="45" s="1"/>
  <c r="AY165" i="45"/>
  <c r="AZ165" i="45" s="1"/>
  <c r="AY175" i="45"/>
  <c r="AZ175" i="45" s="1"/>
  <c r="AY176" i="45"/>
  <c r="AZ176" i="45" s="1"/>
  <c r="AY177" i="45"/>
  <c r="AZ177" i="45" s="1"/>
  <c r="AY178" i="45"/>
  <c r="AZ178" i="45" s="1"/>
  <c r="AY179" i="45"/>
  <c r="AZ179" i="45" s="1"/>
  <c r="AY180" i="45"/>
  <c r="AZ180" i="45" s="1"/>
  <c r="AY181" i="45"/>
  <c r="AZ181" i="45" s="1"/>
  <c r="AY182" i="45"/>
  <c r="AZ182" i="45" s="1"/>
  <c r="AY183" i="45"/>
  <c r="AZ183" i="45" s="1"/>
  <c r="AY184" i="45"/>
  <c r="AZ184" i="45" s="1"/>
  <c r="W49" i="45"/>
  <c r="W48" i="45"/>
  <c r="AY49" i="45"/>
  <c r="AZ49" i="45" s="1"/>
  <c r="AY48" i="45"/>
  <c r="AZ48" i="45" s="1"/>
  <c r="AY244" i="45"/>
  <c r="AZ244" i="45" s="1"/>
  <c r="AY242" i="45"/>
  <c r="AZ242" i="45" s="1"/>
  <c r="AY31" i="45"/>
  <c r="AZ31" i="45" s="1"/>
  <c r="BG31" i="45" s="1"/>
  <c r="AY22" i="45"/>
  <c r="AZ22" i="45" s="1"/>
  <c r="AY21" i="45"/>
  <c r="AZ21" i="45" s="1"/>
  <c r="AZ12" i="45"/>
  <c r="W12" i="45"/>
  <c r="A271" i="45"/>
  <c r="A272" i="45" s="1"/>
  <c r="A273" i="45" s="1"/>
  <c r="A274" i="45" s="1"/>
  <c r="A275" i="45" s="1"/>
  <c r="BG196" i="45" l="1"/>
  <c r="BG223" i="45"/>
  <c r="BG175" i="45"/>
  <c r="BG48" i="45"/>
  <c r="BG49" i="45"/>
  <c r="BG244" i="45"/>
  <c r="BG177" i="45"/>
  <c r="BG176" i="45"/>
  <c r="BG22" i="45"/>
  <c r="BG184" i="45"/>
  <c r="BG242" i="45"/>
  <c r="BG12" i="45"/>
  <c r="BG183" i="45"/>
  <c r="BG21" i="45"/>
  <c r="BG165" i="45"/>
  <c r="BG182" i="45"/>
  <c r="BG167" i="45"/>
  <c r="BG181" i="45"/>
  <c r="BG197" i="45"/>
  <c r="BG180" i="45"/>
  <c r="BG194" i="45"/>
  <c r="BG166" i="45"/>
  <c r="BG179" i="45"/>
  <c r="BG193" i="45"/>
  <c r="BG178" i="45"/>
  <c r="BG192" i="4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tc={F442606B-816B-4FF9-9E0B-86D7EB8D47EC}</author>
    <author>tc={BBFB137E-2AD6-4D43-AC06-9B4C651DB4C3}</author>
    <author>tc={281334BA-23D0-401D-A0A5-586AC26AB7DD}</author>
    <author>tc={D5A8F3A1-CA5B-454B-9392-88348564E57F}</author>
    <author>tc={0272E2B8-611C-4DBF-8B2C-65EBCE749A49}</author>
  </authors>
  <commentList>
    <comment ref="M21" authorId="0" shapeId="0" xr:uid="{F442606B-816B-4FF9-9E0B-86D7EB8D47EC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100% if every category needs info?</t>
      </text>
    </comment>
    <comment ref="M22" authorId="1" shapeId="0" xr:uid="{BBFB137E-2AD6-4D43-AC06-9B4C651DB4C3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100% if every category needs info?
Reply:
    I DON’T UNDERSTAND HOW!! Hahaha its an observation for Matt's team</t>
      </text>
    </comment>
    <comment ref="C54" authorId="2" shapeId="0" xr:uid="{281334BA-23D0-401D-A0A5-586AC26AB7DD}">
      <text>
        <t>[Threaded comment]
Your version of Excel allows you to read this threaded comment; however, any edits to it will get removed if the file is opened in a newer version of Excel. Learn more: https://go.microsoft.com/fwlink/?linkid=870924
Comment:
    McKenna - Interiors</t>
      </text>
    </comment>
    <comment ref="C55" authorId="3" shapeId="0" xr:uid="{D5A8F3A1-CA5B-454B-9392-88348564E57F}">
      <text>
        <t>[Threaded comment]
Your version of Excel allows you to read this threaded comment; however, any edits to it will get removed if the file is opened in a newer version of Excel. Learn more: https://go.microsoft.com/fwlink/?linkid=870924
Comment:
    Kelli - Interiors</t>
      </text>
    </comment>
    <comment ref="C56" authorId="4" shapeId="0" xr:uid="{0272E2B8-611C-4DBF-8B2C-65EBCE749A49}">
      <text>
        <t>[Threaded comment]
Your version of Excel allows you to read this threaded comment; however, any edits to it will get removed if the file is opened in a newer version of Excel. Learn more: https://go.microsoft.com/fwlink/?linkid=870924
Comment:
    Kat - Interiors</t>
      </text>
    </comment>
  </commentList>
</comments>
</file>

<file path=xl/sharedStrings.xml><?xml version="1.0" encoding="utf-8"?>
<sst xmlns="http://schemas.openxmlformats.org/spreadsheetml/2006/main" count="1905" uniqueCount="557">
  <si>
    <t>Key</t>
  </si>
  <si>
    <t>ON HOLD</t>
  </si>
  <si>
    <t> </t>
  </si>
  <si>
    <t>Not Eligible</t>
  </si>
  <si>
    <r>
      <t xml:space="preserve">Report on </t>
    </r>
    <r>
      <rPr>
        <b/>
        <sz val="12"/>
        <color rgb="FFC00000"/>
        <rFont val="Calibri"/>
        <family val="2"/>
        <scheme val="minor"/>
      </rPr>
      <t>2025</t>
    </r>
  </si>
  <si>
    <t>Casey Jones</t>
  </si>
  <si>
    <t>Leigh Christy Kimi</t>
  </si>
  <si>
    <t>Mark Walsh</t>
  </si>
  <si>
    <t>Gabrielle Bullock</t>
  </si>
  <si>
    <t>Jason McLennan</t>
  </si>
  <si>
    <t>Mary D</t>
  </si>
  <si>
    <t>CONCEPTUAL CLARITY</t>
  </si>
  <si>
    <t>RESEARCH &amp; INNOVATION</t>
  </si>
  <si>
    <t>TECHNOLOGY &amp; TECTONICS</t>
  </si>
  <si>
    <t>COMMUNITY &amp; INCLUSION</t>
  </si>
  <si>
    <t>RESILIENCE, &amp; REGENERATION</t>
  </si>
  <si>
    <t>HEALTH &amp; WELL-BEING</t>
  </si>
  <si>
    <t>POETICS &amp; BEAUTY</t>
  </si>
  <si>
    <t xml:space="preserve">Project App Status </t>
  </si>
  <si>
    <t>Percent Completion</t>
  </si>
  <si>
    <t>Old Driver</t>
  </si>
  <si>
    <t>NOTES</t>
  </si>
  <si>
    <t>PROJECT #</t>
  </si>
  <si>
    <t>PROJECT NAME</t>
  </si>
  <si>
    <t xml:space="preserve">Eligible for reporting? </t>
  </si>
  <si>
    <t>Project App?</t>
  </si>
  <si>
    <t xml:space="preserve">Phase </t>
  </si>
  <si>
    <t>LD CHAMPION/ LOCAL POINT OF CONTACT</t>
  </si>
  <si>
    <t>PM/PA</t>
  </si>
  <si>
    <t>Last Phase Reported (to corporate) in 2023</t>
  </si>
  <si>
    <t>Last touchdowns w/ team or champion</t>
  </si>
  <si>
    <t xml:space="preserve">Last project App reviewed </t>
  </si>
  <si>
    <t>2024 DEAR TAG</t>
  </si>
  <si>
    <t>% OF PROJECT APP INFORMATION COMPLETION</t>
  </si>
  <si>
    <t>Design Driver Completion %</t>
  </si>
  <si>
    <t>4 Total Questions</t>
  </si>
  <si>
    <t>6 Total Questions</t>
  </si>
  <si>
    <t>Operational Energy -  18~22  Total Questions</t>
  </si>
  <si>
    <t>Operational Energy Total Questions completed out of 22</t>
  </si>
  <si>
    <t>Operational Carbon - 1~3 Total Question</t>
  </si>
  <si>
    <t>Embodied Carbon - 8 Total Questions</t>
  </si>
  <si>
    <t>Water - Indoor - 6 total questions</t>
  </si>
  <si>
    <t>Water - Outdoor - 4 Total Questions</t>
  </si>
  <si>
    <t>Water Total Questions completed out of 10</t>
  </si>
  <si>
    <t>Ecology - 4 Total Questions</t>
  </si>
  <si>
    <t>Resilience - 1~3 Total Question</t>
  </si>
  <si>
    <t>Public Health Priorities - 1 Question</t>
  </si>
  <si>
    <t>Light - 2 Total Questions</t>
  </si>
  <si>
    <t>Thermal Comfort - 1 Total Question</t>
  </si>
  <si>
    <t>Acoustic Performanc -  1 Total Question</t>
  </si>
  <si>
    <t>Water Quality -  1 Total Question</t>
  </si>
  <si>
    <t>Biophilia -  1 Total Question</t>
  </si>
  <si>
    <t>Other  -  1 Total Question</t>
  </si>
  <si>
    <t>1 Total Question</t>
  </si>
  <si>
    <t>67 ~ 73 Total Questions</t>
  </si>
  <si>
    <t>PASS 60%</t>
  </si>
  <si>
    <t>PM</t>
  </si>
  <si>
    <t>Energy Model</t>
  </si>
  <si>
    <t>AIA Baseline EUI</t>
  </si>
  <si>
    <t xml:space="preserve">Predicted Net EUI </t>
  </si>
  <si>
    <t>Level EUI Guidance</t>
  </si>
  <si>
    <t>% of reduction</t>
  </si>
  <si>
    <t>Meet 2030 EUI (80%)</t>
  </si>
  <si>
    <t xml:space="preserve">Baseline LPD </t>
  </si>
  <si>
    <t>Predicted LPD</t>
  </si>
  <si>
    <t>Meet 2030 LPD (25%)</t>
  </si>
  <si>
    <t>Questions Completed</t>
  </si>
  <si>
    <t>Strategy</t>
  </si>
  <si>
    <t>Model</t>
  </si>
  <si>
    <t>Ttl Flow: Potable Water Use Reduction</t>
  </si>
  <si>
    <t>Meets PW Commitment (40%) (35% HC)</t>
  </si>
  <si>
    <t>Ttl Landscape Pot. Water Use Reduction</t>
  </si>
  <si>
    <t>Meets PW Commitment (30%)</t>
  </si>
  <si>
    <t>EDUCATION  (16 projects eligible for Y/E), 2 TBD</t>
  </si>
  <si>
    <t>K12</t>
  </si>
  <si>
    <r>
      <t>MCA Science Wing and Storm Shelter -</t>
    </r>
    <r>
      <rPr>
        <b/>
        <sz val="12"/>
        <color rgb="FFC00000"/>
        <rFont val="Calibri"/>
        <family val="2"/>
        <scheme val="minor"/>
      </rPr>
      <t xml:space="preserve"> ON HOLD</t>
    </r>
  </si>
  <si>
    <t>NO</t>
  </si>
  <si>
    <t>on hold</t>
  </si>
  <si>
    <t>Tori / Divija</t>
  </si>
  <si>
    <t>Tori/ Tony</t>
  </si>
  <si>
    <t>CD</t>
  </si>
  <si>
    <t>02.19.2024</t>
  </si>
  <si>
    <t>TBD</t>
  </si>
  <si>
    <t>NISD  - Finish replacement</t>
  </si>
  <si>
    <r>
      <t xml:space="preserve">Eaton HS </t>
    </r>
    <r>
      <rPr>
        <b/>
        <sz val="12"/>
        <color rgb="FFC00000"/>
        <rFont val="Calibri"/>
        <family val="2"/>
        <scheme val="minor"/>
      </rPr>
      <t>(Last year reporting)</t>
    </r>
  </si>
  <si>
    <t>YES</t>
  </si>
  <si>
    <t>Ashleigh / Maggie (ID)</t>
  </si>
  <si>
    <t>IDK</t>
  </si>
  <si>
    <t>N/A</t>
  </si>
  <si>
    <t>N</t>
  </si>
  <si>
    <t>FWISD Worth Heights Replacement ES</t>
  </si>
  <si>
    <t>SD</t>
  </si>
  <si>
    <r>
      <t xml:space="preserve">Steele ECHS to Justin ES  </t>
    </r>
    <r>
      <rPr>
        <b/>
        <sz val="12"/>
        <color rgb="FFC00000"/>
        <rFont val="Calibri"/>
        <family val="2"/>
        <scheme val="minor"/>
      </rPr>
      <t>(just starting)</t>
    </r>
  </si>
  <si>
    <t>DD</t>
  </si>
  <si>
    <t>Barbara Rystrom/ Jose Gutierrez</t>
  </si>
  <si>
    <r>
      <t xml:space="preserve">Greenhill Dining Reno - </t>
    </r>
    <r>
      <rPr>
        <b/>
        <sz val="12"/>
        <color rgb="FFC00000"/>
        <rFont val="Calibri"/>
        <family val="2"/>
        <scheme val="minor"/>
      </rPr>
      <t>Study</t>
    </r>
  </si>
  <si>
    <t>Study</t>
  </si>
  <si>
    <t>Micah</t>
  </si>
  <si>
    <r>
      <t>Greenhill Upper School Reno -</t>
    </r>
    <r>
      <rPr>
        <b/>
        <sz val="12"/>
        <color rgb="FFC00000"/>
        <rFont val="Calibri"/>
        <family val="2"/>
        <scheme val="minor"/>
      </rPr>
      <t xml:space="preserve"> Only Concept</t>
    </r>
  </si>
  <si>
    <r>
      <t xml:space="preserve">Add Service - Forrest Oak MS A/R - </t>
    </r>
    <r>
      <rPr>
        <b/>
        <sz val="12"/>
        <color rgb="FFC00000"/>
        <rFont val="Calibri"/>
        <family val="2"/>
        <scheme val="minor"/>
      </rPr>
      <t>Portables</t>
    </r>
  </si>
  <si>
    <t>Permit</t>
  </si>
  <si>
    <t>Justin Dowhower</t>
  </si>
  <si>
    <t>Barbara Rystrom</t>
  </si>
  <si>
    <t>None</t>
  </si>
  <si>
    <t xml:space="preserve">Needs P-list review and outdoor water calc </t>
  </si>
  <si>
    <t>HIGHER ED</t>
  </si>
  <si>
    <r>
      <t xml:space="preserve">UTD Jindal School of Management III </t>
    </r>
    <r>
      <rPr>
        <b/>
        <sz val="12"/>
        <color rgb="FFC00000"/>
        <rFont val="Calibri"/>
        <family val="2"/>
        <scheme val="minor"/>
      </rPr>
      <t>- Last year of reporting</t>
    </r>
  </si>
  <si>
    <t>Ash/ Justin/ Divija</t>
  </si>
  <si>
    <t>Ryan / David</t>
  </si>
  <si>
    <r>
      <t xml:space="preserve">UT Austin Business School </t>
    </r>
    <r>
      <rPr>
        <b/>
        <sz val="12"/>
        <color rgb="FFC00000"/>
        <rFont val="Calibri"/>
        <family val="2"/>
        <scheme val="minor"/>
      </rPr>
      <t>- Last year of reporting</t>
    </r>
  </si>
  <si>
    <t>Emily</t>
  </si>
  <si>
    <t>Brad / Brian</t>
  </si>
  <si>
    <t>12.21.23</t>
  </si>
  <si>
    <t>No</t>
  </si>
  <si>
    <t>NEEDS INFO</t>
  </si>
  <si>
    <t>Needs info</t>
  </si>
  <si>
    <t>TCC Science Bldg Northeast Campus</t>
  </si>
  <si>
    <t>Pending Start</t>
  </si>
  <si>
    <t>Dan Eikenberry</t>
  </si>
  <si>
    <t>Brad Bailey</t>
  </si>
  <si>
    <t>UNT HSC Design Standards</t>
  </si>
  <si>
    <t>Dan /Micah</t>
  </si>
  <si>
    <t>EDU SUMMARY</t>
  </si>
  <si>
    <r>
      <rPr>
        <b/>
        <sz val="12"/>
        <color rgb="FF70AD47"/>
        <rFont val="Calibri"/>
        <family val="2"/>
        <scheme val="minor"/>
      </rPr>
      <t xml:space="preserve">3 includes info
</t>
    </r>
    <r>
      <rPr>
        <b/>
        <sz val="12"/>
        <color rgb="FFC00000"/>
        <rFont val="Calibri"/>
        <family val="2"/>
        <scheme val="minor"/>
      </rPr>
      <t>1 missing info</t>
    </r>
  </si>
  <si>
    <r>
      <rPr>
        <b/>
        <sz val="12"/>
        <color rgb="FF70AD47"/>
        <rFont val="Calibri"/>
        <family val="2"/>
        <scheme val="minor"/>
      </rPr>
      <t xml:space="preserve">1 includes info
</t>
    </r>
    <r>
      <rPr>
        <b/>
        <sz val="12"/>
        <color rgb="FFC00000"/>
        <rFont val="Calibri"/>
        <family val="2"/>
        <scheme val="minor"/>
      </rPr>
      <t>3 missing info</t>
    </r>
  </si>
  <si>
    <r>
      <rPr>
        <b/>
        <sz val="12"/>
        <color rgb="FF70AD47"/>
        <rFont val="Calibri"/>
        <family val="2"/>
        <scheme val="minor"/>
      </rPr>
      <t xml:space="preserve">2 includes info
</t>
    </r>
    <r>
      <rPr>
        <b/>
        <sz val="12"/>
        <color rgb="FFC00000"/>
        <rFont val="Calibri"/>
        <family val="2"/>
        <scheme val="minor"/>
      </rPr>
      <t>2 missing info</t>
    </r>
  </si>
  <si>
    <t>2 of 4 include energy modeling</t>
  </si>
  <si>
    <r>
      <rPr>
        <b/>
        <sz val="12"/>
        <color rgb="FFC00000"/>
        <rFont val="Calibri"/>
        <family val="2"/>
        <scheme val="minor"/>
      </rPr>
      <t>Level 1 - 1</t>
    </r>
    <r>
      <rPr>
        <b/>
        <sz val="12"/>
        <color theme="5"/>
        <rFont val="Calibri"/>
        <family val="2"/>
        <scheme val="minor"/>
      </rPr>
      <t xml:space="preserve">
Level 2 - 2
</t>
    </r>
    <r>
      <rPr>
        <b/>
        <sz val="12"/>
        <color theme="7"/>
        <rFont val="Calibri"/>
        <family val="2"/>
        <scheme val="minor"/>
      </rPr>
      <t>Level 3 - 0</t>
    </r>
    <r>
      <rPr>
        <b/>
        <sz val="12"/>
        <color theme="5"/>
        <rFont val="Calibri"/>
        <family val="2"/>
        <scheme val="minor"/>
      </rPr>
      <t xml:space="preserve">
</t>
    </r>
    <r>
      <rPr>
        <b/>
        <sz val="12"/>
        <color theme="9"/>
        <rFont val="Calibri"/>
        <family val="2"/>
        <scheme val="minor"/>
      </rPr>
      <t>Level 4 - 2</t>
    </r>
    <r>
      <rPr>
        <b/>
        <sz val="12"/>
        <color theme="5"/>
        <rFont val="Calibri"/>
        <family val="2"/>
        <scheme val="minor"/>
      </rPr>
      <t xml:space="preserve">
</t>
    </r>
    <r>
      <rPr>
        <b/>
        <sz val="12"/>
        <color theme="9" tint="-0.249977111117893"/>
        <rFont val="Calibri"/>
        <family val="2"/>
        <scheme val="minor"/>
      </rPr>
      <t>Level 5</t>
    </r>
    <r>
      <rPr>
        <b/>
        <sz val="12"/>
        <color theme="5"/>
        <rFont val="Calibri"/>
        <family val="2"/>
        <scheme val="minor"/>
      </rPr>
      <t xml:space="preserve"> </t>
    </r>
    <r>
      <rPr>
        <b/>
        <sz val="12"/>
        <color theme="9" tint="-0.249977111117893"/>
        <rFont val="Calibri"/>
        <family val="2"/>
        <scheme val="minor"/>
      </rPr>
      <t>- 0</t>
    </r>
  </si>
  <si>
    <r>
      <rPr>
        <b/>
        <sz val="12"/>
        <color rgb="FF70AD47"/>
        <rFont val="Calibri"/>
        <family val="2"/>
        <scheme val="minor"/>
      </rPr>
      <t xml:space="preserve">0 meeting target
</t>
    </r>
    <r>
      <rPr>
        <b/>
        <sz val="12"/>
        <color rgb="FFC00000"/>
        <rFont val="Calibri"/>
        <family val="2"/>
        <scheme val="minor"/>
      </rPr>
      <t>6 Not meeting target</t>
    </r>
    <r>
      <rPr>
        <b/>
        <sz val="12"/>
        <color rgb="FFFF0000"/>
        <rFont val="Calibri"/>
        <family val="2"/>
        <scheme val="minor"/>
      </rPr>
      <t xml:space="preserve">
</t>
    </r>
    <r>
      <rPr>
        <b/>
        <sz val="12"/>
        <color rgb="FFBFBFBF"/>
        <rFont val="Calibri"/>
        <family val="2"/>
        <scheme val="minor"/>
      </rPr>
      <t xml:space="preserve">0 not in scope
</t>
    </r>
    <r>
      <rPr>
        <b/>
        <sz val="12"/>
        <color theme="7"/>
        <rFont val="Calibri"/>
        <family val="2"/>
        <scheme val="minor"/>
      </rPr>
      <t>0 Unconfirmed</t>
    </r>
    <r>
      <rPr>
        <b/>
        <sz val="12"/>
        <color rgb="FFFFC000"/>
        <rFont val="Calibri"/>
        <family val="2"/>
        <scheme val="minor"/>
      </rPr>
      <t xml:space="preserve">
</t>
    </r>
    <r>
      <rPr>
        <b/>
        <sz val="12"/>
        <color rgb="FFBF8F00"/>
        <rFont val="Calibri"/>
        <family val="2"/>
        <scheme val="minor"/>
      </rPr>
      <t>1 missing info</t>
    </r>
  </si>
  <si>
    <r>
      <rPr>
        <b/>
        <sz val="12"/>
        <color rgb="FF70AD47"/>
        <rFont val="Calibri"/>
        <family val="2"/>
        <scheme val="minor"/>
      </rPr>
      <t xml:space="preserve">0 meeting target
</t>
    </r>
    <r>
      <rPr>
        <b/>
        <sz val="12"/>
        <color rgb="FFFF0000"/>
        <rFont val="Calibri"/>
        <family val="2"/>
        <scheme val="minor"/>
      </rPr>
      <t xml:space="preserve">0 Not meeting target
</t>
    </r>
    <r>
      <rPr>
        <b/>
        <sz val="12"/>
        <color theme="0" tint="-0.249977111117893"/>
        <rFont val="Calibri"/>
        <family val="2"/>
        <scheme val="minor"/>
      </rPr>
      <t>0 not in scope</t>
    </r>
    <r>
      <rPr>
        <b/>
        <sz val="12"/>
        <color rgb="FFBFBFBF"/>
        <rFont val="Calibri"/>
        <family val="2"/>
        <scheme val="minor"/>
      </rPr>
      <t xml:space="preserve">
</t>
    </r>
    <r>
      <rPr>
        <b/>
        <sz val="12"/>
        <color theme="7"/>
        <rFont val="Calibri"/>
        <family val="2"/>
        <scheme val="minor"/>
      </rPr>
      <t>0 Unco</t>
    </r>
    <r>
      <rPr>
        <b/>
        <sz val="12"/>
        <color rgb="FFFFC000"/>
        <rFont val="Calibri"/>
        <family val="2"/>
        <scheme val="minor"/>
      </rPr>
      <t xml:space="preserve">nfirmed
</t>
    </r>
    <r>
      <rPr>
        <b/>
        <sz val="12"/>
        <color theme="7" tint="-0.249977111117893"/>
        <rFont val="Calibri"/>
        <family val="2"/>
        <scheme val="minor"/>
      </rPr>
      <t>1 missing info</t>
    </r>
  </si>
  <si>
    <t>1 of 4 include Operational Carbon Calcs</t>
  </si>
  <si>
    <t>1 Pathway 1
1 Pathway 2
0 Pathway 3
2 No Pathway</t>
  </si>
  <si>
    <r>
      <rPr>
        <b/>
        <sz val="12"/>
        <color rgb="FF70AD47"/>
        <rFont val="Calibri"/>
        <family val="2"/>
        <scheme val="minor"/>
      </rPr>
      <t xml:space="preserve">1 meeting target
</t>
    </r>
    <r>
      <rPr>
        <b/>
        <sz val="12"/>
        <color rgb="FFEE0000"/>
        <rFont val="Calibri"/>
        <family val="2"/>
        <scheme val="minor"/>
      </rPr>
      <t>1</t>
    </r>
    <r>
      <rPr>
        <b/>
        <sz val="12"/>
        <color rgb="FFFF0000"/>
        <rFont val="Calibri"/>
        <family val="2"/>
        <scheme val="minor"/>
      </rPr>
      <t xml:space="preserve"> Not meeting target
</t>
    </r>
    <r>
      <rPr>
        <b/>
        <sz val="12"/>
        <color rgb="FFBFBFBF"/>
        <rFont val="Calibri"/>
        <family val="2"/>
        <scheme val="minor"/>
      </rPr>
      <t xml:space="preserve">0 not in scope
</t>
    </r>
    <r>
      <rPr>
        <b/>
        <sz val="12"/>
        <color rgb="FFFFC000"/>
        <rFont val="Calibri"/>
        <family val="2"/>
        <scheme val="minor"/>
      </rPr>
      <t xml:space="preserve">0 Unconfirmed
</t>
    </r>
    <r>
      <rPr>
        <b/>
        <sz val="12"/>
        <color rgb="FFBF8F00"/>
        <rFont val="Calibri"/>
        <family val="2"/>
        <scheme val="minor"/>
      </rPr>
      <t>4 missing info</t>
    </r>
  </si>
  <si>
    <r>
      <rPr>
        <b/>
        <sz val="12"/>
        <color rgb="FF70AD47"/>
        <rFont val="Calibri"/>
        <family val="2"/>
        <scheme val="minor"/>
      </rPr>
      <t xml:space="preserve">1 meeting target
</t>
    </r>
    <r>
      <rPr>
        <b/>
        <sz val="12"/>
        <color rgb="FFFF0000"/>
        <rFont val="Calibri"/>
        <family val="2"/>
        <scheme val="minor"/>
      </rPr>
      <t xml:space="preserve">0 Not meeting target
</t>
    </r>
    <r>
      <rPr>
        <b/>
        <sz val="12"/>
        <color rgb="FFBFBFBF"/>
        <rFont val="Calibri"/>
        <family val="2"/>
        <scheme val="minor"/>
      </rPr>
      <t xml:space="preserve">0 not in scope
</t>
    </r>
    <r>
      <rPr>
        <b/>
        <sz val="12"/>
        <color rgb="FFFFC000"/>
        <rFont val="Calibri"/>
        <family val="2"/>
        <scheme val="minor"/>
      </rPr>
      <t xml:space="preserve">0 Unconfirmed
</t>
    </r>
    <r>
      <rPr>
        <b/>
        <sz val="12"/>
        <color theme="7" tint="-0.249977111117893"/>
        <rFont val="Calibri"/>
        <family val="2"/>
        <scheme val="minor"/>
      </rPr>
      <t>4</t>
    </r>
    <r>
      <rPr>
        <b/>
        <sz val="12"/>
        <color rgb="FFBF8F00"/>
        <rFont val="Calibri"/>
        <family val="2"/>
        <scheme val="minor"/>
      </rPr>
      <t xml:space="preserve"> missing info</t>
    </r>
  </si>
  <si>
    <t>2 of 4 include resiliency analysis</t>
  </si>
  <si>
    <t>2 of 4</t>
  </si>
  <si>
    <t>CCC - (5 projects eligible for Y/E)</t>
  </si>
  <si>
    <r>
      <t xml:space="preserve">Aquarium and Attractions Complex </t>
    </r>
    <r>
      <rPr>
        <b/>
        <sz val="12"/>
        <color rgb="FFC00000"/>
        <rFont val="Calibri"/>
        <family val="2"/>
        <scheme val="minor"/>
      </rPr>
      <t>(hold)</t>
    </r>
  </si>
  <si>
    <t>Mary</t>
  </si>
  <si>
    <t>John Strasius/ Kristen Winters</t>
  </si>
  <si>
    <t>NOT YET</t>
  </si>
  <si>
    <t>KBHCCD Expansion</t>
  </si>
  <si>
    <t>Jim Johnson</t>
  </si>
  <si>
    <t>Yes</t>
  </si>
  <si>
    <r>
      <t xml:space="preserve">Design District </t>
    </r>
    <r>
      <rPr>
        <b/>
        <sz val="12"/>
        <color rgb="FFC00000"/>
        <rFont val="Calibri"/>
        <family val="2"/>
        <scheme val="minor"/>
      </rPr>
      <t>(Once it comes off hold)</t>
    </r>
  </si>
  <si>
    <r>
      <t>Harold Simmons Park Shade Structure -</t>
    </r>
    <r>
      <rPr>
        <b/>
        <sz val="12"/>
        <color rgb="FFC00000"/>
        <rFont val="Calibri"/>
        <family val="2"/>
        <scheme val="minor"/>
      </rPr>
      <t xml:space="preserve"> Last and only report/ EC Study</t>
    </r>
  </si>
  <si>
    <t>Sdavid Sascha / Braxton</t>
  </si>
  <si>
    <t>Dallas Museum of Art Renovation-AOR</t>
  </si>
  <si>
    <t>Eduardo Churquina</t>
  </si>
  <si>
    <t>Texas Farm Bureau Waco HQ Renovations (Only Concept)</t>
  </si>
  <si>
    <t>Churquina, Eduardo</t>
  </si>
  <si>
    <t>Concept</t>
  </si>
  <si>
    <t>Strasius, John</t>
  </si>
  <si>
    <r>
      <t xml:space="preserve">Allen Office Hourly  </t>
    </r>
    <r>
      <rPr>
        <b/>
        <sz val="12"/>
        <color rgb="FFC00000"/>
        <rFont val="Calibri"/>
        <family val="2"/>
        <scheme val="minor"/>
      </rPr>
      <t>(study)</t>
    </r>
  </si>
  <si>
    <t>GEN</t>
  </si>
  <si>
    <t>KBHCCD Office Relocations</t>
  </si>
  <si>
    <t>FIFA Enabling Works</t>
  </si>
  <si>
    <t>Transportation Component</t>
  </si>
  <si>
    <t>Memorial Atena &amp; TBAAL relocation of sup</t>
  </si>
  <si>
    <r>
      <t xml:space="preserve">Design District MP </t>
    </r>
    <r>
      <rPr>
        <b/>
        <sz val="12"/>
        <color rgb="FFC00000"/>
        <rFont val="Calibri"/>
        <family val="2"/>
        <scheme val="minor"/>
      </rPr>
      <t>- on hold</t>
    </r>
  </si>
  <si>
    <t>John Strasius</t>
  </si>
  <si>
    <t>NA</t>
  </si>
  <si>
    <r>
      <t xml:space="preserve">Allen Office Buildings - </t>
    </r>
    <r>
      <rPr>
        <b/>
        <sz val="12"/>
        <color rgb="FFC00000"/>
        <rFont val="Calibri"/>
        <family val="2"/>
        <scheme val="minor"/>
      </rPr>
      <t>Renders</t>
    </r>
  </si>
  <si>
    <t>CCCC SUMMARY</t>
  </si>
  <si>
    <r>
      <rPr>
        <b/>
        <sz val="12"/>
        <color rgb="FF70AD47"/>
        <rFont val="Calibri"/>
        <family val="2"/>
        <scheme val="minor"/>
      </rPr>
      <t xml:space="preserve">3 includes info
</t>
    </r>
    <r>
      <rPr>
        <b/>
        <sz val="12"/>
        <color rgb="FFC00000"/>
        <rFont val="Calibri"/>
        <family val="2"/>
        <scheme val="minor"/>
      </rPr>
      <t>2 missing info</t>
    </r>
  </si>
  <si>
    <r>
      <rPr>
        <b/>
        <sz val="12"/>
        <color rgb="FF70AD47"/>
        <rFont val="Calibri"/>
        <family val="2"/>
        <scheme val="minor"/>
      </rPr>
      <t xml:space="preserve">3 includes info
</t>
    </r>
    <r>
      <rPr>
        <b/>
        <sz val="12"/>
        <color rgb="FFC00000"/>
        <rFont val="Calibri"/>
        <family val="2"/>
        <scheme val="minor"/>
      </rPr>
      <t>3 missing info</t>
    </r>
  </si>
  <si>
    <r>
      <rPr>
        <b/>
        <sz val="12"/>
        <color rgb="FFC00000"/>
        <rFont val="Calibri"/>
        <family val="2"/>
        <scheme val="minor"/>
      </rPr>
      <t>Level 1 - 0</t>
    </r>
    <r>
      <rPr>
        <b/>
        <sz val="12"/>
        <color theme="5"/>
        <rFont val="Calibri"/>
        <family val="2"/>
        <scheme val="minor"/>
      </rPr>
      <t xml:space="preserve">
Level 2 - 0
</t>
    </r>
    <r>
      <rPr>
        <b/>
        <sz val="12"/>
        <color theme="7"/>
        <rFont val="Calibri"/>
        <family val="2"/>
        <scheme val="minor"/>
      </rPr>
      <t>Level 3 - 0</t>
    </r>
    <r>
      <rPr>
        <b/>
        <sz val="12"/>
        <color theme="5"/>
        <rFont val="Calibri"/>
        <family val="2"/>
        <scheme val="minor"/>
      </rPr>
      <t xml:space="preserve">
</t>
    </r>
    <r>
      <rPr>
        <b/>
        <sz val="12"/>
        <color theme="9"/>
        <rFont val="Calibri"/>
        <family val="2"/>
        <scheme val="minor"/>
      </rPr>
      <t>Level 4 - 1</t>
    </r>
    <r>
      <rPr>
        <b/>
        <sz val="12"/>
        <color theme="5"/>
        <rFont val="Calibri"/>
        <family val="2"/>
        <scheme val="minor"/>
      </rPr>
      <t xml:space="preserve">
</t>
    </r>
    <r>
      <rPr>
        <b/>
        <sz val="12"/>
        <color theme="9" tint="-0.249977111117893"/>
        <rFont val="Calibri"/>
        <family val="2"/>
        <scheme val="minor"/>
      </rPr>
      <t>Level 5</t>
    </r>
    <r>
      <rPr>
        <b/>
        <sz val="12"/>
        <color theme="5"/>
        <rFont val="Calibri"/>
        <family val="2"/>
        <scheme val="minor"/>
      </rPr>
      <t xml:space="preserve"> </t>
    </r>
    <r>
      <rPr>
        <b/>
        <sz val="12"/>
        <color theme="9" tint="-0.249977111117893"/>
        <rFont val="Calibri"/>
        <family val="2"/>
        <scheme val="minor"/>
      </rPr>
      <t>- 1</t>
    </r>
  </si>
  <si>
    <r>
      <rPr>
        <b/>
        <sz val="12"/>
        <color rgb="FF70AD47"/>
        <rFont val="Calibri"/>
        <family val="2"/>
        <scheme val="minor"/>
      </rPr>
      <t xml:space="preserve">1 meeting target
</t>
    </r>
    <r>
      <rPr>
        <b/>
        <sz val="12"/>
        <color rgb="FFC00000"/>
        <rFont val="Calibri"/>
        <family val="2"/>
        <scheme val="minor"/>
      </rPr>
      <t>2 Not meeting target</t>
    </r>
    <r>
      <rPr>
        <b/>
        <sz val="12"/>
        <color rgb="FFFF0000"/>
        <rFont val="Calibri"/>
        <family val="2"/>
        <scheme val="minor"/>
      </rPr>
      <t xml:space="preserve">
</t>
    </r>
    <r>
      <rPr>
        <b/>
        <sz val="12"/>
        <color rgb="FFBFBFBF"/>
        <rFont val="Calibri"/>
        <family val="2"/>
        <scheme val="minor"/>
      </rPr>
      <t xml:space="preserve">0 not in scope
</t>
    </r>
    <r>
      <rPr>
        <b/>
        <sz val="12"/>
        <color theme="7"/>
        <rFont val="Calibri"/>
        <family val="2"/>
        <scheme val="minor"/>
      </rPr>
      <t>0 Unconfirmed</t>
    </r>
    <r>
      <rPr>
        <b/>
        <sz val="12"/>
        <color rgb="FFFFC000"/>
        <rFont val="Calibri"/>
        <family val="2"/>
        <scheme val="minor"/>
      </rPr>
      <t xml:space="preserve">
</t>
    </r>
    <r>
      <rPr>
        <b/>
        <sz val="12"/>
        <color rgb="FFBF8F00"/>
        <rFont val="Calibri"/>
        <family val="2"/>
        <scheme val="minor"/>
      </rPr>
      <t>2 missing info</t>
    </r>
  </si>
  <si>
    <r>
      <rPr>
        <b/>
        <sz val="12"/>
        <color rgb="FF70AD47"/>
        <rFont val="Calibri"/>
        <family val="2"/>
        <scheme val="minor"/>
      </rPr>
      <t xml:space="preserve">0 meeting target
</t>
    </r>
    <r>
      <rPr>
        <b/>
        <sz val="12"/>
        <color rgb="FFFF0000"/>
        <rFont val="Calibri"/>
        <family val="2"/>
        <scheme val="minor"/>
      </rPr>
      <t xml:space="preserve">0 Not meeting target
</t>
    </r>
    <r>
      <rPr>
        <b/>
        <sz val="12"/>
        <color rgb="FFBFBFBF"/>
        <rFont val="Calibri"/>
        <family val="2"/>
        <scheme val="minor"/>
      </rPr>
      <t xml:space="preserve">0 not in scope
</t>
    </r>
    <r>
      <rPr>
        <b/>
        <sz val="12"/>
        <color rgb="FFFFC000"/>
        <rFont val="Calibri"/>
        <family val="2"/>
        <scheme val="minor"/>
      </rPr>
      <t xml:space="preserve">0 Unconfirmed
</t>
    </r>
    <r>
      <rPr>
        <b/>
        <sz val="12"/>
        <color rgb="FFBF8F00"/>
        <rFont val="Calibri"/>
        <family val="2"/>
        <scheme val="minor"/>
      </rPr>
      <t>0 missing info</t>
    </r>
  </si>
  <si>
    <r>
      <rPr>
        <b/>
        <sz val="12"/>
        <color rgb="FF70AD47"/>
        <rFont val="Calibri"/>
        <family val="2"/>
        <scheme val="minor"/>
      </rPr>
      <t xml:space="preserve">0 meeting target
</t>
    </r>
    <r>
      <rPr>
        <b/>
        <sz val="12"/>
        <color rgb="FFFF0000"/>
        <rFont val="Calibri"/>
        <family val="2"/>
        <scheme val="minor"/>
      </rPr>
      <t xml:space="preserve">0 Not meeting target
</t>
    </r>
    <r>
      <rPr>
        <b/>
        <sz val="12"/>
        <color rgb="FFBFBFBF"/>
        <rFont val="Calibri"/>
        <family val="2"/>
        <scheme val="minor"/>
      </rPr>
      <t xml:space="preserve">0 not in scope
</t>
    </r>
    <r>
      <rPr>
        <b/>
        <sz val="12"/>
        <color rgb="FFFFC000"/>
        <rFont val="Calibri"/>
        <family val="2"/>
        <scheme val="minor"/>
      </rPr>
      <t xml:space="preserve">0 Unconfirmed
</t>
    </r>
    <r>
      <rPr>
        <b/>
        <sz val="12"/>
        <color rgb="FFBF8F00"/>
        <rFont val="Calibri"/>
        <family val="2"/>
        <scheme val="minor"/>
      </rPr>
      <t>5 missing info</t>
    </r>
  </si>
  <si>
    <t>3 of 5 include resiliency analysis</t>
  </si>
  <si>
    <t>2 of 5</t>
  </si>
  <si>
    <t>HEALTHCARE DIV (17 projects eligible for Y/E)</t>
  </si>
  <si>
    <t>PHMS-New Pediatric Campus - Hospital</t>
  </si>
  <si>
    <t xml:space="preserve">Mary , Tom </t>
  </si>
  <si>
    <t xml:space="preserve">Juan Navarro / </t>
  </si>
  <si>
    <t>02.20.2024</t>
  </si>
  <si>
    <t>Needs project description</t>
  </si>
  <si>
    <r>
      <t xml:space="preserve">THP Plano Campus Bed Tower - </t>
    </r>
    <r>
      <rPr>
        <b/>
        <sz val="12"/>
        <color rgb="FFC00000"/>
        <rFont val="Calibri"/>
        <family val="2"/>
        <scheme val="minor"/>
      </rPr>
      <t>This is the last report</t>
    </r>
  </si>
  <si>
    <t>Wes Bowen / Jen Parlett</t>
  </si>
  <si>
    <t>Y</t>
  </si>
  <si>
    <t xml:space="preserve">Biofilia, water savings, precutionary list, lighting circadian rhythm. </t>
  </si>
  <si>
    <t>Wes Bowen</t>
  </si>
  <si>
    <r>
      <t>BUMC IP CT Renovation -</t>
    </r>
    <r>
      <rPr>
        <b/>
        <sz val="12"/>
        <color rgb="FFC00000"/>
        <rFont val="Calibri"/>
        <family val="2"/>
        <scheme val="minor"/>
      </rPr>
      <t xml:space="preserve"> About to start</t>
    </r>
  </si>
  <si>
    <r>
      <t>THP New CT Room</t>
    </r>
    <r>
      <rPr>
        <b/>
        <sz val="12"/>
        <color rgb="FFC00000"/>
        <rFont val="Calibri"/>
        <family val="2"/>
        <scheme val="minor"/>
      </rPr>
      <t xml:space="preserve"> (small, but meets the req)</t>
    </r>
  </si>
  <si>
    <r>
      <t>THP OR Renovation  -</t>
    </r>
    <r>
      <rPr>
        <b/>
        <sz val="12"/>
        <color rgb="FFC00000"/>
        <rFont val="Calibri"/>
        <family val="2"/>
        <scheme val="minor"/>
      </rPr>
      <t xml:space="preserve"> This is the last report</t>
    </r>
  </si>
  <si>
    <t>Bowen, John</t>
  </si>
  <si>
    <r>
      <rPr>
        <sz val="12"/>
        <color rgb="FF000000"/>
        <rFont val="Calibri"/>
        <family val="2"/>
        <scheme val="minor"/>
      </rPr>
      <t xml:space="preserve">Bon Secours St Marys Expansion 2024  </t>
    </r>
    <r>
      <rPr>
        <b/>
        <sz val="12"/>
        <color rgb="FFC00000"/>
        <rFont val="Calibri"/>
        <family val="2"/>
        <scheme val="minor"/>
      </rPr>
      <t>This is the last report</t>
    </r>
  </si>
  <si>
    <t>Griffin, Cory</t>
  </si>
  <si>
    <t>Cory / Katherine</t>
  </si>
  <si>
    <r>
      <rPr>
        <sz val="12"/>
        <color rgb="FF000000"/>
        <rFont val="Calibri"/>
        <family val="2"/>
        <scheme val="minor"/>
      </rPr>
      <t xml:space="preserve">Our Lady of the Lake ED Reno   </t>
    </r>
    <r>
      <rPr>
        <b/>
        <sz val="12"/>
        <color rgb="FFC00000"/>
        <rFont val="Calibri"/>
        <family val="2"/>
        <scheme val="minor"/>
      </rPr>
      <t>This is the last report</t>
    </r>
  </si>
  <si>
    <t>Cory Griffin / Katherine Busch</t>
  </si>
  <si>
    <r>
      <rPr>
        <sz val="12"/>
        <color rgb="FF000000"/>
        <rFont val="Calibri"/>
        <family val="2"/>
        <scheme val="minor"/>
      </rPr>
      <t xml:space="preserve">Texas Health Midlothian IHC  - </t>
    </r>
    <r>
      <rPr>
        <b/>
        <sz val="12"/>
        <color rgb="FFC00000"/>
        <rFont val="Calibri"/>
        <family val="2"/>
        <scheme val="minor"/>
      </rPr>
      <t>This is the last report</t>
    </r>
  </si>
  <si>
    <t>Anson, Stephen</t>
  </si>
  <si>
    <t>Anson/ Zach Spero</t>
  </si>
  <si>
    <r>
      <t xml:space="preserve">Little Rock Rehab Hospital  - </t>
    </r>
    <r>
      <rPr>
        <b/>
        <sz val="12"/>
        <color rgb="FFC00000"/>
        <rFont val="Calibri"/>
        <family val="2"/>
        <scheme val="minor"/>
      </rPr>
      <t>This is the last report</t>
    </r>
  </si>
  <si>
    <r>
      <t>Cambridge Frisco MOB -</t>
    </r>
    <r>
      <rPr>
        <b/>
        <sz val="12"/>
        <color rgb="FFC00000"/>
        <rFont val="Calibri"/>
        <family val="2"/>
        <scheme val="minor"/>
      </rPr>
      <t xml:space="preserve"> This is the last report</t>
    </r>
  </si>
  <si>
    <t>Anson/ Nnaemeka Mozie</t>
  </si>
  <si>
    <t>Cambridge Frisco MOB</t>
  </si>
  <si>
    <t>need to contact</t>
  </si>
  <si>
    <t>Houston Rehab Hospital</t>
  </si>
  <si>
    <t>Anson</t>
  </si>
  <si>
    <r>
      <t xml:space="preserve">MHS: Corporate Office POB </t>
    </r>
    <r>
      <rPr>
        <b/>
        <sz val="12"/>
        <color rgb="FFC00000"/>
        <rFont val="Calibri"/>
        <family val="2"/>
        <scheme val="minor"/>
      </rPr>
      <t>- on hold</t>
    </r>
  </si>
  <si>
    <t>Mark Roan</t>
  </si>
  <si>
    <t>MHS: Corporate Office POB - on hold</t>
  </si>
  <si>
    <t>MDMC: NICU Renovation</t>
  </si>
  <si>
    <t>Mark Roan/Natali Brennan</t>
  </si>
  <si>
    <r>
      <t xml:space="preserve">MDMC: Shell OR Build Out </t>
    </r>
    <r>
      <rPr>
        <b/>
        <sz val="12"/>
        <color rgb="FFC00000"/>
        <rFont val="Calibri"/>
        <family val="2"/>
        <scheme val="minor"/>
      </rPr>
      <t>2025 This is the last report</t>
    </r>
  </si>
  <si>
    <t>CA</t>
  </si>
  <si>
    <r>
      <t xml:space="preserve">MDMC: Burn Unit Renovation </t>
    </r>
    <r>
      <rPr>
        <b/>
        <sz val="12"/>
        <color rgb="FFC00000"/>
        <rFont val="Calibri"/>
        <family val="2"/>
        <scheme val="minor"/>
      </rPr>
      <t>2025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rgb="FFC00000"/>
        <rFont val="Calibri"/>
        <family val="2"/>
        <scheme val="minor"/>
      </rPr>
      <t>This is the last report</t>
    </r>
  </si>
  <si>
    <r>
      <t>MDMC: MRI Room 03 Renovation  -</t>
    </r>
    <r>
      <rPr>
        <b/>
        <sz val="12"/>
        <color rgb="FFC00000"/>
        <rFont val="Calibri"/>
        <family val="2"/>
        <scheme val="minor"/>
      </rPr>
      <t xml:space="preserve"> This is the last report</t>
    </r>
  </si>
  <si>
    <t>MDMC: 8th Floor Schenkel Tower Reno</t>
  </si>
  <si>
    <t>MDMC: 10th Floor Schenkel Tower Reno</t>
  </si>
  <si>
    <t>Cambridge TFO Lam Vascular</t>
  </si>
  <si>
    <t>Kelli Llorence</t>
  </si>
  <si>
    <t>Cambridge TFO Elite Imaging</t>
  </si>
  <si>
    <t>Cambridge TFO OINT</t>
  </si>
  <si>
    <t>Cambridge TFO Priva OB/GYN</t>
  </si>
  <si>
    <t>Cambridge TFO Texas Spine</t>
  </si>
  <si>
    <t>UC Health MHN Expansion</t>
  </si>
  <si>
    <t>Leesburg FEMC</t>
  </si>
  <si>
    <t>Closed</t>
  </si>
  <si>
    <t>Cory Griffin</t>
  </si>
  <si>
    <r>
      <t xml:space="preserve">BSWG AHU 14 Replacement </t>
    </r>
    <r>
      <rPr>
        <b/>
        <sz val="12"/>
        <color rgb="FFC00000"/>
        <rFont val="Calibri"/>
        <family val="2"/>
        <scheme val="minor"/>
      </rPr>
      <t>small</t>
    </r>
  </si>
  <si>
    <r>
      <t xml:space="preserve">BUMC Retail Pharmacy Renovation </t>
    </r>
    <r>
      <rPr>
        <b/>
        <sz val="12"/>
        <color rgb="FFC00000"/>
        <rFont val="Calibri"/>
        <family val="2"/>
        <scheme val="minor"/>
      </rPr>
      <t>small</t>
    </r>
  </si>
  <si>
    <r>
      <t xml:space="preserve">BSWG AHU 23 Replacement </t>
    </r>
    <r>
      <rPr>
        <b/>
        <sz val="12"/>
        <color rgb="FFC00000"/>
        <rFont val="Calibri"/>
        <family val="2"/>
        <scheme val="minor"/>
      </rPr>
      <t>small</t>
    </r>
  </si>
  <si>
    <r>
      <t xml:space="preserve">THA CT Replacement </t>
    </r>
    <r>
      <rPr>
        <b/>
        <sz val="12"/>
        <color rgb="FFC00000"/>
        <rFont val="Calibri"/>
        <family val="2"/>
        <scheme val="minor"/>
      </rPr>
      <t>small</t>
    </r>
  </si>
  <si>
    <r>
      <t xml:space="preserve">THP 4A Headwall Reconfiguration </t>
    </r>
    <r>
      <rPr>
        <b/>
        <sz val="12"/>
        <color rgb="FFC00000"/>
        <rFont val="Calibri"/>
        <family val="2"/>
        <scheme val="minor"/>
      </rPr>
      <t>hold</t>
    </r>
  </si>
  <si>
    <r>
      <t xml:space="preserve">Tenet Health- Mission Ridge Hospital </t>
    </r>
    <r>
      <rPr>
        <b/>
        <sz val="12"/>
        <color rgb="FFC00000"/>
        <rFont val="Calibri"/>
        <family val="2"/>
        <scheme val="minor"/>
      </rPr>
      <t>hold</t>
    </r>
  </si>
  <si>
    <r>
      <t xml:space="preserve">UC Health MHN Expansion </t>
    </r>
    <r>
      <rPr>
        <b/>
        <sz val="12"/>
        <color rgb="FFC00000"/>
        <rFont val="Calibri"/>
        <family val="2"/>
        <scheme val="minor"/>
      </rPr>
      <t>(Denver)</t>
    </r>
  </si>
  <si>
    <t>MCA 3 North- Exam Room</t>
  </si>
  <si>
    <t>Weaver, Devin</t>
  </si>
  <si>
    <t>Whitney, Kelly</t>
  </si>
  <si>
    <t>Renown Health 2024 Master Plan</t>
  </si>
  <si>
    <t>Dias, Ashley</t>
  </si>
  <si>
    <t>BSWI AHU Replacement</t>
  </si>
  <si>
    <t>Sinnett, Ian</t>
  </si>
  <si>
    <t>BSWH Plano - Sterilizer Replacement</t>
  </si>
  <si>
    <t>BSWM Master Plan</t>
  </si>
  <si>
    <t>BSWI Rad Room Replacement</t>
  </si>
  <si>
    <t>BSWH Plano - Brain &amp; Spine Suite 800 Ren</t>
  </si>
  <si>
    <t>Hellem, Nicole</t>
  </si>
  <si>
    <t>THCDS Seay Center-Doors</t>
  </si>
  <si>
    <t>Collins, David</t>
  </si>
  <si>
    <t>MHS: Corporate Office POB Study</t>
  </si>
  <si>
    <t>Roan, Mark</t>
  </si>
  <si>
    <r>
      <t xml:space="preserve">MRMC: Retail Pharmacy Expansion </t>
    </r>
    <r>
      <rPr>
        <b/>
        <sz val="12"/>
        <color rgb="FFC00000"/>
        <rFont val="Calibri"/>
        <family val="2"/>
        <scheme val="minor"/>
      </rPr>
      <t>Study</t>
    </r>
  </si>
  <si>
    <r>
      <t xml:space="preserve">MRMC: CVICU Pre-Design </t>
    </r>
    <r>
      <rPr>
        <b/>
        <sz val="12"/>
        <color rgb="FFC00000"/>
        <rFont val="Calibri"/>
        <family val="2"/>
        <scheme val="minor"/>
      </rPr>
      <t>Study</t>
    </r>
  </si>
  <si>
    <r>
      <t xml:space="preserve">MRMC: Tower C Pre-Design </t>
    </r>
    <r>
      <rPr>
        <b/>
        <sz val="12"/>
        <color rgb="FFC00000"/>
        <rFont val="Calibri"/>
        <family val="2"/>
        <scheme val="minor"/>
      </rPr>
      <t>Study</t>
    </r>
  </si>
  <si>
    <r>
      <t xml:space="preserve">MRMC: New Tower Pre-Design </t>
    </r>
    <r>
      <rPr>
        <b/>
        <sz val="12"/>
        <color rgb="FFC00000"/>
        <rFont val="Calibri"/>
        <family val="2"/>
        <scheme val="minor"/>
      </rPr>
      <t>Study</t>
    </r>
  </si>
  <si>
    <t>MDMC: Schenkel Tower Renovation</t>
  </si>
  <si>
    <t>7th Floor Schenkel Tower Renovation</t>
  </si>
  <si>
    <r>
      <t xml:space="preserve">8th Floor Schenkel Tower Renovation </t>
    </r>
    <r>
      <rPr>
        <b/>
        <sz val="12"/>
        <color rgb="FFC00000"/>
        <rFont val="Calibri"/>
        <family val="2"/>
        <scheme val="minor"/>
      </rPr>
      <t>(2024)</t>
    </r>
  </si>
  <si>
    <r>
      <t>10th Floor Schenkel Tower Renovation</t>
    </r>
    <r>
      <rPr>
        <b/>
        <sz val="12"/>
        <color rgb="FFC00000"/>
        <rFont val="Calibri"/>
        <family val="2"/>
        <scheme val="minor"/>
      </rPr>
      <t xml:space="preserve"> (2024)</t>
    </r>
  </si>
  <si>
    <r>
      <t xml:space="preserve">MMMC: ED X-Ray Equipment Replacement </t>
    </r>
    <r>
      <rPr>
        <b/>
        <sz val="12"/>
        <color rgb="FFC00000"/>
        <rFont val="Calibri"/>
        <family val="2"/>
        <scheme val="minor"/>
      </rPr>
      <t>(small)</t>
    </r>
  </si>
  <si>
    <r>
      <t xml:space="preserve">MDMC: Outpatient Building </t>
    </r>
    <r>
      <rPr>
        <b/>
        <sz val="12"/>
        <color rgb="FFC00000"/>
        <rFont val="Calibri"/>
        <family val="2"/>
        <scheme val="minor"/>
      </rPr>
      <t>Study</t>
    </r>
  </si>
  <si>
    <t>MMMC: SPD Cart Washer</t>
  </si>
  <si>
    <t xml:space="preserve">MMMC: </t>
  </si>
  <si>
    <t>MMMC: Fluoro Room1 equip repl</t>
  </si>
  <si>
    <t>MMMC: OBGYN OR Rennovation</t>
  </si>
  <si>
    <t>Mark Roan/Austin Madrigal</t>
  </si>
  <si>
    <t>MDMC: Sheckel - 2024</t>
  </si>
  <si>
    <t>THR: Rockwall MP 2.0</t>
  </si>
  <si>
    <t>Planning</t>
  </si>
  <si>
    <t>Confidential Site Analysis</t>
  </si>
  <si>
    <t>THR Rockwall: MRI Equipment Replacement</t>
  </si>
  <si>
    <t>Natali Brennan</t>
  </si>
  <si>
    <t>BSW Lake Pointe: Master Plan</t>
  </si>
  <si>
    <t>MRC Equip Rep</t>
  </si>
  <si>
    <t>THRW Pathology &amp; HR Add/Reno</t>
  </si>
  <si>
    <t>MDMC: Heart Center Study</t>
  </si>
  <si>
    <t>MMMC:Fluoro Room 1 Equipment Replacement</t>
  </si>
  <si>
    <t>Confidential Hospital Site Analysis</t>
  </si>
  <si>
    <t>MSMC: Heli-Pad</t>
  </si>
  <si>
    <r>
      <t xml:space="preserve">MRMC: OR + PACU Expansion - </t>
    </r>
    <r>
      <rPr>
        <b/>
        <sz val="12"/>
        <color rgb="FFC00000"/>
        <rFont val="Calibri"/>
        <family val="2"/>
        <scheme val="minor"/>
      </rPr>
      <t>2024</t>
    </r>
  </si>
  <si>
    <r>
      <t>MMMC: Nuc Med SPECT Renovation</t>
    </r>
    <r>
      <rPr>
        <b/>
        <sz val="12"/>
        <color rgb="FFC00000"/>
        <rFont val="Calibri"/>
        <family val="2"/>
        <scheme val="minor"/>
      </rPr>
      <t xml:space="preserve"> (1,000 sf)</t>
    </r>
  </si>
  <si>
    <r>
      <t xml:space="preserve">MMMC Surgery PACU Pre Design </t>
    </r>
    <r>
      <rPr>
        <b/>
        <sz val="12"/>
        <color rgb="FFC00000"/>
        <rFont val="Calibri"/>
        <family val="2"/>
        <scheme val="minor"/>
      </rPr>
      <t>Study</t>
    </r>
  </si>
  <si>
    <r>
      <t xml:space="preserve">MDMC: Lab Phase 02 </t>
    </r>
    <r>
      <rPr>
        <b/>
        <sz val="12"/>
        <color rgb="FFC00000"/>
        <rFont val="Calibri"/>
        <family val="2"/>
        <scheme val="minor"/>
      </rPr>
      <t>Study</t>
    </r>
  </si>
  <si>
    <t>THA R&amp;F Renovation</t>
  </si>
  <si>
    <t>THP OR Integration</t>
  </si>
  <si>
    <t>BUMC Retail Pharmacy Remodel</t>
  </si>
  <si>
    <t>Henry Co. Proprietary Specifications</t>
  </si>
  <si>
    <t>Robinson, Jordan</t>
  </si>
  <si>
    <t>Jordan, Holly</t>
  </si>
  <si>
    <t>Amanvari Master Specifications</t>
  </si>
  <si>
    <t>ALEXANDRIA NY- ASCENT LABS &amp; ARE OFFICE</t>
  </si>
  <si>
    <t>Wicker, Sarah</t>
  </si>
  <si>
    <t>14S701.000</t>
  </si>
  <si>
    <t>Methodist Hospital S&amp;T Renovation</t>
  </si>
  <si>
    <t>Cantu, Omar</t>
  </si>
  <si>
    <t>14S701.100</t>
  </si>
  <si>
    <t>Methodist Hospital S&amp;T Reno CA Hourly</t>
  </si>
  <si>
    <t>Renown South Meadows-Contract Extension</t>
  </si>
  <si>
    <t>Reisenbichler, Thomas</t>
  </si>
  <si>
    <t>Wildwood FEMC</t>
  </si>
  <si>
    <r>
      <t xml:space="preserve">Argyle Site Planning </t>
    </r>
    <r>
      <rPr>
        <b/>
        <sz val="12"/>
        <color rgb="FFC00000"/>
        <rFont val="Calibri"/>
        <family val="2"/>
        <scheme val="minor"/>
      </rPr>
      <t>Study</t>
    </r>
  </si>
  <si>
    <t>Reisenbichler, Thomas/ Kenneth?</t>
  </si>
  <si>
    <t>Children’s Health Specialty Center at Re</t>
  </si>
  <si>
    <t>Razan</t>
  </si>
  <si>
    <t>Children's Health: Plano Public Space I</t>
  </si>
  <si>
    <t>Construction</t>
  </si>
  <si>
    <t>Wildwood Freestanding Emergency MC</t>
  </si>
  <si>
    <t xml:space="preserve">NO </t>
  </si>
  <si>
    <t>BSMH St Marys O2 Yard</t>
  </si>
  <si>
    <r>
      <t xml:space="preserve">THR Rockwall: MRI Equipment Replacement - </t>
    </r>
    <r>
      <rPr>
        <b/>
        <sz val="12"/>
        <color rgb="FFC00000"/>
        <rFont val="Calibri"/>
        <family val="2"/>
        <scheme val="minor"/>
      </rPr>
      <t>equip replacement only</t>
    </r>
  </si>
  <si>
    <r>
      <t xml:space="preserve">Confidential Hospital Site Analysis - </t>
    </r>
    <r>
      <rPr>
        <b/>
        <sz val="12"/>
        <color rgb="FFC00000"/>
        <rFont val="Calibri"/>
        <family val="2"/>
        <scheme val="minor"/>
      </rPr>
      <t>Study</t>
    </r>
  </si>
  <si>
    <t>DIVERSIFIED HEALTHCARE INTERIORS</t>
  </si>
  <si>
    <r>
      <rPr>
        <sz val="12"/>
        <color rgb="FF000000"/>
        <rFont val="Calibri"/>
        <family val="2"/>
        <scheme val="minor"/>
      </rPr>
      <t xml:space="preserve">BSWH - Public Safety - </t>
    </r>
    <r>
      <rPr>
        <b/>
        <sz val="12"/>
        <color rgb="FFC00000"/>
        <rFont val="Calibri"/>
        <family val="2"/>
        <scheme val="minor"/>
      </rPr>
      <t>Testfit / we are not sure if this will become a projct</t>
    </r>
  </si>
  <si>
    <r>
      <rPr>
        <sz val="12"/>
        <color rgb="FF000000"/>
        <rFont val="Calibri"/>
        <family val="2"/>
        <scheme val="minor"/>
      </rPr>
      <t xml:space="preserve">BSWH - Aramark - </t>
    </r>
    <r>
      <rPr>
        <b/>
        <sz val="12"/>
        <color rgb="FFC00000"/>
        <rFont val="Calibri"/>
        <family val="2"/>
        <scheme val="minor"/>
      </rPr>
      <t>Testfit / we are not sure if this will become a projct</t>
    </r>
  </si>
  <si>
    <r>
      <t xml:space="preserve">BSWI Surgery Renovation - </t>
    </r>
    <r>
      <rPr>
        <b/>
        <sz val="12"/>
        <color rgb="FFC00000"/>
        <rFont val="Calibri"/>
        <family val="2"/>
        <scheme val="minor"/>
      </rPr>
      <t>This is the last report</t>
    </r>
  </si>
  <si>
    <t>Wes, Beth, Jen ?</t>
  </si>
  <si>
    <t xml:space="preserve">Wes Bowen / Beth </t>
  </si>
  <si>
    <t>Needs Embodied Carbon info (Interiors; over 5k SF)</t>
  </si>
  <si>
    <r>
      <t xml:space="preserve">BSWI ICU Build out  (irving) - </t>
    </r>
    <r>
      <rPr>
        <b/>
        <sz val="12"/>
        <color rgb="FFC00000"/>
        <rFont val="Calibri"/>
        <family val="2"/>
        <scheme val="minor"/>
      </rPr>
      <t>This is the last report</t>
    </r>
  </si>
  <si>
    <t>bidding</t>
  </si>
  <si>
    <r>
      <t xml:space="preserve">Encompass Health Fairlawn Reno - </t>
    </r>
    <r>
      <rPr>
        <b/>
        <sz val="12"/>
        <color rgb="FFC00000"/>
        <rFont val="Calibri"/>
        <family val="2"/>
        <scheme val="minor"/>
      </rPr>
      <t>This is the last report</t>
    </r>
  </si>
  <si>
    <t xml:space="preserve">YES </t>
  </si>
  <si>
    <t>Ashwini / Tabita</t>
  </si>
  <si>
    <t>Ben Keyworth</t>
  </si>
  <si>
    <t>Due to scope, a lot of the petals are NA</t>
  </si>
  <si>
    <t>Tenet Health - Buckeye Hospital (prototype)</t>
  </si>
  <si>
    <t>Tenet Health Boerne Hospital (one off)</t>
  </si>
  <si>
    <t>Tenet Health- Mission Ridge Hospital (prototype)</t>
  </si>
  <si>
    <t xml:space="preserve">Wes Bowen / Urenna </t>
  </si>
  <si>
    <t>MDMC: 3ST Labor &amp; Delivery Renovation</t>
  </si>
  <si>
    <t xml:space="preserve">Mark Roan/Austin Madrigal/Kat </t>
  </si>
  <si>
    <t>HCA CJW Medical Center-Chipperton 5th Floor</t>
  </si>
  <si>
    <t>THPPP Fluoro Equip Replace</t>
  </si>
  <si>
    <t>THPPP X-Ray Equip Replace</t>
  </si>
  <si>
    <t>Baylor Cancer Center Ceiling Finish Refresh</t>
  </si>
  <si>
    <t xml:space="preserve">Nicki Hellem / </t>
  </si>
  <si>
    <t>Renown Health South Meadows Campus Map Revisions</t>
  </si>
  <si>
    <t>BSWI 2-4 Patient Lift Replace</t>
  </si>
  <si>
    <t>Baylor Admin Sublease Study</t>
  </si>
  <si>
    <t>Amber Wernick</t>
  </si>
  <si>
    <t>Renown FF&amp;E</t>
  </si>
  <si>
    <t>Baylor Cancer Center - Ceiling Finish Refr</t>
  </si>
  <si>
    <t>MRMC : 5th Floor Finish Out</t>
  </si>
  <si>
    <t>BSWI R&amp;F Room 5 Renovation</t>
  </si>
  <si>
    <t>Replace med</t>
  </si>
  <si>
    <t>Wes</t>
  </si>
  <si>
    <t>MSMC: Women's Services Study 2.0</t>
  </si>
  <si>
    <t>MMMC: ED-CUP Expansion Study</t>
  </si>
  <si>
    <t>Tenet Health- Mission Ridge Hospital</t>
  </si>
  <si>
    <t>HC SUMMARY</t>
  </si>
  <si>
    <r>
      <rPr>
        <b/>
        <sz val="12"/>
        <color rgb="FF70AD47"/>
        <rFont val="Calibri"/>
        <family val="2"/>
        <scheme val="minor"/>
      </rPr>
      <t xml:space="preserve">14 includes info
</t>
    </r>
    <r>
      <rPr>
        <b/>
        <sz val="12"/>
        <color rgb="FFC00000"/>
        <rFont val="Calibri"/>
        <family val="2"/>
        <scheme val="minor"/>
      </rPr>
      <t>0 missing info</t>
    </r>
  </si>
  <si>
    <r>
      <rPr>
        <b/>
        <sz val="12"/>
        <color rgb="FF70AD47"/>
        <rFont val="Calibri"/>
        <family val="2"/>
        <scheme val="minor"/>
      </rPr>
      <t xml:space="preserve">11 includes info
</t>
    </r>
    <r>
      <rPr>
        <b/>
        <sz val="12"/>
        <color rgb="FFC00000"/>
        <rFont val="Calibri"/>
        <family val="2"/>
        <scheme val="minor"/>
      </rPr>
      <t>3 missing info</t>
    </r>
  </si>
  <si>
    <t>1 of 8 include energy modeling</t>
  </si>
  <si>
    <r>
      <rPr>
        <b/>
        <sz val="12"/>
        <color rgb="FFC00000"/>
        <rFont val="Calibri"/>
        <family val="2"/>
        <scheme val="minor"/>
      </rPr>
      <t>Level 1 - 2</t>
    </r>
    <r>
      <rPr>
        <b/>
        <sz val="12"/>
        <color theme="5"/>
        <rFont val="Calibri"/>
        <family val="2"/>
        <scheme val="minor"/>
      </rPr>
      <t xml:space="preserve">
Level 2 - 4
</t>
    </r>
    <r>
      <rPr>
        <b/>
        <sz val="12"/>
        <color theme="7"/>
        <rFont val="Calibri"/>
        <family val="2"/>
        <scheme val="minor"/>
      </rPr>
      <t>Level 3 - 2</t>
    </r>
    <r>
      <rPr>
        <b/>
        <sz val="12"/>
        <color theme="5"/>
        <rFont val="Calibri"/>
        <family val="2"/>
        <scheme val="minor"/>
      </rPr>
      <t xml:space="preserve">
</t>
    </r>
    <r>
      <rPr>
        <b/>
        <sz val="12"/>
        <color theme="9"/>
        <rFont val="Calibri"/>
        <family val="2"/>
        <scheme val="minor"/>
      </rPr>
      <t>Level 4 - 0</t>
    </r>
    <r>
      <rPr>
        <b/>
        <sz val="12"/>
        <color theme="5"/>
        <rFont val="Calibri"/>
        <family val="2"/>
        <scheme val="minor"/>
      </rPr>
      <t xml:space="preserve">
</t>
    </r>
    <r>
      <rPr>
        <b/>
        <sz val="12"/>
        <color theme="9" tint="-0.249977111117893"/>
        <rFont val="Calibri"/>
        <family val="2"/>
        <scheme val="minor"/>
      </rPr>
      <t>Level 5</t>
    </r>
    <r>
      <rPr>
        <b/>
        <sz val="12"/>
        <color theme="5"/>
        <rFont val="Calibri"/>
        <family val="2"/>
        <scheme val="minor"/>
      </rPr>
      <t xml:space="preserve"> </t>
    </r>
    <r>
      <rPr>
        <b/>
        <sz val="12"/>
        <color theme="9" tint="-0.249977111117893"/>
        <rFont val="Calibri"/>
        <family val="2"/>
        <scheme val="minor"/>
      </rPr>
      <t>- 0</t>
    </r>
  </si>
  <si>
    <r>
      <rPr>
        <b/>
        <sz val="12"/>
        <color rgb="FF70AD47"/>
        <rFont val="Calibri"/>
        <family val="2"/>
        <scheme val="minor"/>
      </rPr>
      <t xml:space="preserve">0 meeting target
</t>
    </r>
    <r>
      <rPr>
        <b/>
        <sz val="12"/>
        <color rgb="FFFF0000"/>
        <rFont val="Calibri"/>
        <family val="2"/>
        <scheme val="minor"/>
      </rPr>
      <t xml:space="preserve">7 Not meeting target
</t>
    </r>
    <r>
      <rPr>
        <b/>
        <sz val="12"/>
        <color rgb="FFBFBFBF"/>
        <rFont val="Calibri"/>
        <family val="2"/>
        <scheme val="minor"/>
      </rPr>
      <t xml:space="preserve">5 not in scope
</t>
    </r>
    <r>
      <rPr>
        <b/>
        <sz val="12"/>
        <color rgb="FFFFC000"/>
        <rFont val="Calibri"/>
        <family val="2"/>
        <scheme val="minor"/>
      </rPr>
      <t xml:space="preserve">0 Unconfirmed
</t>
    </r>
    <r>
      <rPr>
        <b/>
        <sz val="12"/>
        <color rgb="FFBF8F00"/>
        <rFont val="Calibri"/>
        <family val="2"/>
        <scheme val="minor"/>
      </rPr>
      <t>13 missing info</t>
    </r>
  </si>
  <si>
    <r>
      <rPr>
        <b/>
        <sz val="12"/>
        <color rgb="FF70AD47"/>
        <rFont val="Calibri"/>
        <family val="2"/>
        <scheme val="minor"/>
      </rPr>
      <t xml:space="preserve">2 meeting target
</t>
    </r>
    <r>
      <rPr>
        <b/>
        <sz val="12"/>
        <color rgb="FFFF0000"/>
        <rFont val="Calibri"/>
        <family val="2"/>
        <scheme val="minor"/>
      </rPr>
      <t xml:space="preserve">2 Not meeting target
</t>
    </r>
    <r>
      <rPr>
        <b/>
        <sz val="12"/>
        <color rgb="FFBFBFBF"/>
        <rFont val="Calibri"/>
        <family val="2"/>
        <scheme val="minor"/>
      </rPr>
      <t xml:space="preserve">9 not in scope
</t>
    </r>
    <r>
      <rPr>
        <b/>
        <sz val="12"/>
        <color rgb="FFFFC000"/>
        <rFont val="Calibri"/>
        <family val="2"/>
        <scheme val="minor"/>
      </rPr>
      <t xml:space="preserve">0 Unconfirmed
</t>
    </r>
    <r>
      <rPr>
        <b/>
        <sz val="12"/>
        <color rgb="FFBF8F00"/>
        <rFont val="Calibri"/>
        <family val="2"/>
        <scheme val="minor"/>
      </rPr>
      <t>0 missing info</t>
    </r>
  </si>
  <si>
    <t>0 of 8 include Operational Carbon Calcs</t>
  </si>
  <si>
    <t>0 Pathway 1
0 Pathway 2
1 Pathway 3
13 No Pathway</t>
  </si>
  <si>
    <r>
      <rPr>
        <b/>
        <sz val="12"/>
        <color rgb="FF70AD47"/>
        <rFont val="Calibri"/>
        <family val="2"/>
        <scheme val="minor"/>
      </rPr>
      <t xml:space="preserve">0 meeting target
</t>
    </r>
    <r>
      <rPr>
        <b/>
        <sz val="12"/>
        <color rgb="FFFF0000"/>
        <rFont val="Calibri"/>
        <family val="2"/>
        <scheme val="minor"/>
      </rPr>
      <t xml:space="preserve">13 Not meeting target
</t>
    </r>
    <r>
      <rPr>
        <b/>
        <sz val="12"/>
        <color rgb="FFBFBFBF"/>
        <rFont val="Calibri"/>
        <family val="2"/>
        <scheme val="minor"/>
      </rPr>
      <t xml:space="preserve">1 not in scope
</t>
    </r>
    <r>
      <rPr>
        <b/>
        <sz val="12"/>
        <color rgb="FFFFC000"/>
        <rFont val="Calibri"/>
        <family val="2"/>
        <scheme val="minor"/>
      </rPr>
      <t xml:space="preserve">5 Unconfirmed
</t>
    </r>
    <r>
      <rPr>
        <b/>
        <sz val="12"/>
        <color rgb="FFBF8F00"/>
        <rFont val="Calibri"/>
        <family val="2"/>
        <scheme val="minor"/>
      </rPr>
      <t>5 missing info</t>
    </r>
  </si>
  <si>
    <r>
      <rPr>
        <b/>
        <sz val="12"/>
        <color rgb="FF70AD47"/>
        <rFont val="Calibri"/>
        <family val="2"/>
        <scheme val="minor"/>
      </rPr>
      <t xml:space="preserve">2 meeting target
</t>
    </r>
    <r>
      <rPr>
        <b/>
        <sz val="12"/>
        <color rgb="FFFF0000"/>
        <rFont val="Calibri"/>
        <family val="2"/>
        <scheme val="minor"/>
      </rPr>
      <t xml:space="preserve">5 Not meeting target
</t>
    </r>
    <r>
      <rPr>
        <b/>
        <sz val="12"/>
        <color rgb="FFBFBFBF"/>
        <rFont val="Calibri"/>
        <family val="2"/>
        <scheme val="minor"/>
      </rPr>
      <t xml:space="preserve">5 not in scope
</t>
    </r>
    <r>
      <rPr>
        <b/>
        <sz val="12"/>
        <color rgb="FFFFC000"/>
        <rFont val="Calibri"/>
        <family val="2"/>
        <scheme val="minor"/>
      </rPr>
      <t xml:space="preserve">0 Unconfirmed
</t>
    </r>
    <r>
      <rPr>
        <b/>
        <sz val="12"/>
        <color rgb="FFBF8F00"/>
        <rFont val="Calibri"/>
        <family val="2"/>
        <scheme val="minor"/>
      </rPr>
      <t>4 missing info</t>
    </r>
  </si>
  <si>
    <t>3 of 13 include resiliency analysis</t>
  </si>
  <si>
    <t>12 of 13</t>
  </si>
  <si>
    <t xml:space="preserve">HEALTHCARE HCA </t>
  </si>
  <si>
    <t xml:space="preserve">HCA Good Sam Replacement Hosp </t>
  </si>
  <si>
    <t>Vu / Omar / ERIC D. (SPM)</t>
  </si>
  <si>
    <r>
      <t>HCA Good Sam Powerhouse</t>
    </r>
    <r>
      <rPr>
        <b/>
        <sz val="12"/>
        <color rgb="FFC00000"/>
        <rFont val="Calibri"/>
        <family val="2"/>
        <scheme val="minor"/>
      </rPr>
      <t xml:space="preserve"> (this is the same as above)</t>
    </r>
  </si>
  <si>
    <t>Vu / Lawrence</t>
  </si>
  <si>
    <r>
      <t xml:space="preserve">HCA South Strand Medical Center - </t>
    </r>
    <r>
      <rPr>
        <b/>
        <sz val="12"/>
        <color rgb="FFC00000"/>
        <rFont val="Calibri"/>
        <family val="2"/>
        <scheme val="minor"/>
      </rPr>
      <t>This is the last year</t>
    </r>
  </si>
  <si>
    <t>Matt Enslin</t>
  </si>
  <si>
    <r>
      <t xml:space="preserve">Encompass Health Charleston (MUSC) </t>
    </r>
    <r>
      <rPr>
        <b/>
        <sz val="12"/>
        <color rgb="FFC00000"/>
        <rFont val="Calibri"/>
        <family val="2"/>
        <scheme val="minor"/>
      </rPr>
      <t>- This is the last report</t>
    </r>
  </si>
  <si>
    <t>Bidding</t>
  </si>
  <si>
    <t>Tabita Daolio</t>
  </si>
  <si>
    <r>
      <t>HCA-Kyle FSER -</t>
    </r>
    <r>
      <rPr>
        <b/>
        <sz val="12"/>
        <color rgb="FFC00000"/>
        <rFont val="Calibri"/>
        <family val="2"/>
        <scheme val="minor"/>
      </rPr>
      <t xml:space="preserve"> This is the last year</t>
    </r>
  </si>
  <si>
    <t>Devin Weaver</t>
  </si>
  <si>
    <r>
      <t>Encompass Health Tustin Expansion -</t>
    </r>
    <r>
      <rPr>
        <b/>
        <sz val="12"/>
        <color rgb="FFC00000"/>
        <rFont val="Calibri"/>
        <family val="2"/>
        <scheme val="minor"/>
      </rPr>
      <t xml:space="preserve"> This is the last year</t>
    </r>
  </si>
  <si>
    <t>Ben Keyworth / Alex Phng</t>
  </si>
  <si>
    <r>
      <t xml:space="preserve">Encompass Health San Antonio - </t>
    </r>
    <r>
      <rPr>
        <b/>
        <sz val="12"/>
        <color rgb="FFC00000"/>
        <rFont val="Calibri"/>
        <family val="2"/>
        <scheme val="minor"/>
      </rPr>
      <t>This is the last year</t>
    </r>
  </si>
  <si>
    <t>Ben Keyworth / Tabita D</t>
  </si>
  <si>
    <r>
      <t xml:space="preserve">Encompass Health Bangor - </t>
    </r>
    <r>
      <rPr>
        <b/>
        <sz val="12"/>
        <color rgb="FFC00000"/>
        <rFont val="Calibri"/>
        <family val="2"/>
        <scheme val="minor"/>
      </rPr>
      <t>This is the last year</t>
    </r>
  </si>
  <si>
    <t>Ben Keyworth/ Jalyn McDowell</t>
  </si>
  <si>
    <t>HCA Medical City Alliance ED Expansion</t>
  </si>
  <si>
    <r>
      <t xml:space="preserve">Encompass Health St. George - </t>
    </r>
    <r>
      <rPr>
        <b/>
        <sz val="12"/>
        <color rgb="FFC00000"/>
        <rFont val="Calibri"/>
        <family val="2"/>
        <scheme val="minor"/>
      </rPr>
      <t>This is the last year</t>
    </r>
  </si>
  <si>
    <r>
      <t xml:space="preserve">Encompass Beverly  - </t>
    </r>
    <r>
      <rPr>
        <b/>
        <sz val="12"/>
        <color rgb="FFC00000"/>
        <rFont val="Calibri"/>
        <family val="2"/>
        <scheme val="minor"/>
      </rPr>
      <t>This is the last report</t>
    </r>
  </si>
  <si>
    <t>Ben Keyworth / Mohamed</t>
  </si>
  <si>
    <t>Encompass Health North Las Vegas</t>
  </si>
  <si>
    <t>Ingrid Aboujaoude</t>
  </si>
  <si>
    <t>HCA Methodist Hospital Main Campus</t>
  </si>
  <si>
    <t>Encompass Health Desert</t>
  </si>
  <si>
    <t>Encompass Health Bakersfield NPC Upgrade</t>
  </si>
  <si>
    <t>Infrastructure</t>
  </si>
  <si>
    <t>HCA Mission Oaks NPC 4/5 Upgrade</t>
  </si>
  <si>
    <t>Vu</t>
  </si>
  <si>
    <t>HCA MCFW Bed Expansion</t>
  </si>
  <si>
    <t>NEED INFO</t>
  </si>
  <si>
    <t>Julie Frazier</t>
  </si>
  <si>
    <t>HCA Medical City Frisco Vert Exp - possibly going away (end of March)</t>
  </si>
  <si>
    <t>on hold - DD</t>
  </si>
  <si>
    <t>232001  SAN</t>
  </si>
  <si>
    <r>
      <t xml:space="preserve">Methodist Hospital Women's Refresh </t>
    </r>
    <r>
      <rPr>
        <b/>
        <sz val="12"/>
        <color rgb="FFC00000"/>
        <rFont val="Calibri"/>
        <family val="2"/>
        <scheme val="minor"/>
      </rPr>
      <t>(NEW)</t>
    </r>
  </si>
  <si>
    <t>Carolina/ Omar</t>
  </si>
  <si>
    <t>232003  SAN</t>
  </si>
  <si>
    <r>
      <t xml:space="preserve">HCA Methodist Stone Oak Refresh </t>
    </r>
    <r>
      <rPr>
        <b/>
        <sz val="12"/>
        <color rgb="FFC00000"/>
        <rFont val="Calibri"/>
        <family val="2"/>
        <scheme val="minor"/>
      </rPr>
      <t>(NEW)</t>
    </r>
  </si>
  <si>
    <t>232004  SAN</t>
  </si>
  <si>
    <r>
      <t xml:space="preserve">HCA Methodist Hospital Women's Refresh </t>
    </r>
    <r>
      <rPr>
        <b/>
        <sz val="12"/>
        <color rgb="FFC00000"/>
        <rFont val="Calibri"/>
        <family val="2"/>
        <scheme val="minor"/>
      </rPr>
      <t>(New)</t>
    </r>
  </si>
  <si>
    <t>14S701.1 SAN</t>
  </si>
  <si>
    <t>Methodist SA S&amp;T Antonio Reno</t>
  </si>
  <si>
    <r>
      <t xml:space="preserve">Methodist SA S&amp;T Reno - </t>
    </r>
    <r>
      <rPr>
        <b/>
        <sz val="12"/>
        <color rgb="FFC00000"/>
        <rFont val="Calibri"/>
        <family val="2"/>
        <scheme val="minor"/>
      </rPr>
      <t>(not in project app)</t>
    </r>
  </si>
  <si>
    <t>Devin Weaver/Omar</t>
  </si>
  <si>
    <r>
      <t xml:space="preserve">Encompass Health Bangor </t>
    </r>
    <r>
      <rPr>
        <b/>
        <sz val="12"/>
        <color rgb="FFC00000"/>
        <rFont val="Calibri"/>
        <family val="2"/>
        <scheme val="minor"/>
      </rPr>
      <t>(Boston 70%)</t>
    </r>
  </si>
  <si>
    <t>Ben Keyworth / LD Champion TBD</t>
  </si>
  <si>
    <r>
      <t xml:space="preserve">Encompass Health Clinton HIH </t>
    </r>
    <r>
      <rPr>
        <b/>
        <sz val="12"/>
        <color rgb="FFC00000"/>
        <rFont val="Calibri"/>
        <family val="2"/>
        <scheme val="minor"/>
      </rPr>
      <t>- Test Fit</t>
    </r>
  </si>
  <si>
    <t>Keyworth, Ben</t>
  </si>
  <si>
    <t>Test Fit</t>
  </si>
  <si>
    <t>Ben Keyworth / Jennifer Hufman</t>
  </si>
  <si>
    <r>
      <t xml:space="preserve">Encompass Health Rehab Bridgewater </t>
    </r>
    <r>
      <rPr>
        <b/>
        <sz val="12"/>
        <color rgb="FFC00000"/>
        <rFont val="Calibri"/>
        <family val="2"/>
        <scheme val="minor"/>
      </rPr>
      <t xml:space="preserve"> - Test Fit</t>
    </r>
  </si>
  <si>
    <t>Empty</t>
  </si>
  <si>
    <r>
      <t xml:space="preserve">Encompass Health Tustin Expansion Study </t>
    </r>
    <r>
      <rPr>
        <b/>
        <sz val="12"/>
        <color rgb="FFC00000"/>
        <rFont val="Calibri"/>
        <family val="2"/>
        <scheme val="minor"/>
      </rPr>
      <t xml:space="preserve"> - Test Fit</t>
    </r>
  </si>
  <si>
    <r>
      <t xml:space="preserve">Encompass Health Rehab St George  - </t>
    </r>
    <r>
      <rPr>
        <b/>
        <sz val="12"/>
        <color rgb="FFC00000"/>
        <rFont val="Calibri"/>
        <family val="2"/>
        <scheme val="minor"/>
      </rPr>
      <t>Test Fit</t>
    </r>
  </si>
  <si>
    <r>
      <t xml:space="preserve">HCA RMCSJ ED Wait Expansion </t>
    </r>
    <r>
      <rPr>
        <b/>
        <sz val="12"/>
        <color rgb="FFC00000"/>
        <rFont val="Calibri"/>
        <family val="2"/>
        <scheme val="minor"/>
      </rPr>
      <t>(HOLD)</t>
    </r>
  </si>
  <si>
    <t>Omar</t>
  </si>
  <si>
    <t>HCA - RMCSJ CA ED</t>
  </si>
  <si>
    <r>
      <t xml:space="preserve">RMCSJ Pharmacy CA </t>
    </r>
    <r>
      <rPr>
        <b/>
        <sz val="12"/>
        <color rgb="FFC00000"/>
        <rFont val="Calibri"/>
        <family val="2"/>
        <scheme val="minor"/>
      </rPr>
      <t>(HOLD)</t>
    </r>
  </si>
  <si>
    <r>
      <t xml:space="preserve">Methodist Hosp Westover Hills ICU Shell </t>
    </r>
    <r>
      <rPr>
        <b/>
        <sz val="12"/>
        <color rgb="FFC00000"/>
        <rFont val="Calibri"/>
        <family val="2"/>
        <scheme val="minor"/>
      </rPr>
      <t>(600 sf)</t>
    </r>
  </si>
  <si>
    <t>HCA Fortworth - on hold</t>
  </si>
  <si>
    <t>HCA-Mem Health Savannah NICU Ph 3</t>
  </si>
  <si>
    <t>HCA - Medical City Dallas H&amp;S Vertical Ext</t>
  </si>
  <si>
    <t>HCA-Methodist Hospital S&amp;T ICU Rehab Ren</t>
  </si>
  <si>
    <t>HCA RMC OR AHU Assessment</t>
  </si>
  <si>
    <t>HC HCA SUMMARY</t>
  </si>
  <si>
    <r>
      <rPr>
        <b/>
        <sz val="12"/>
        <color rgb="FF70AD47"/>
        <rFont val="Calibri"/>
        <family val="2"/>
        <scheme val="minor"/>
      </rPr>
      <t xml:space="preserve">8 includes info
</t>
    </r>
    <r>
      <rPr>
        <b/>
        <sz val="12"/>
        <color rgb="FFC00000"/>
        <rFont val="Calibri"/>
        <family val="2"/>
        <scheme val="minor"/>
      </rPr>
      <t>4 missing info</t>
    </r>
  </si>
  <si>
    <r>
      <rPr>
        <b/>
        <sz val="12"/>
        <color rgb="FF70AD47"/>
        <rFont val="Calibri"/>
        <family val="2"/>
        <scheme val="minor"/>
      </rPr>
      <t xml:space="preserve">4 includes info
</t>
    </r>
    <r>
      <rPr>
        <b/>
        <sz val="12"/>
        <color rgb="FFC00000"/>
        <rFont val="Calibri"/>
        <family val="2"/>
        <scheme val="minor"/>
      </rPr>
      <t>8 missing info</t>
    </r>
  </si>
  <si>
    <r>
      <rPr>
        <b/>
        <sz val="12"/>
        <color rgb="FF70AD47"/>
        <rFont val="Calibri"/>
        <family val="2"/>
        <scheme val="minor"/>
      </rPr>
      <t xml:space="preserve">5 includes info
</t>
    </r>
    <r>
      <rPr>
        <b/>
        <sz val="12"/>
        <color rgb="FFC00000"/>
        <rFont val="Calibri"/>
        <family val="2"/>
        <scheme val="minor"/>
      </rPr>
      <t>7 missing info</t>
    </r>
  </si>
  <si>
    <t>3 of 12 include energy modeling</t>
  </si>
  <si>
    <r>
      <rPr>
        <b/>
        <sz val="12"/>
        <color rgb="FFC00000"/>
        <rFont val="Calibri"/>
        <family val="2"/>
        <scheme val="minor"/>
      </rPr>
      <t>Level 1 - 7</t>
    </r>
    <r>
      <rPr>
        <b/>
        <sz val="12"/>
        <color theme="5"/>
        <rFont val="Calibri"/>
        <family val="2"/>
        <scheme val="minor"/>
      </rPr>
      <t xml:space="preserve">
Level 2 - 2
</t>
    </r>
    <r>
      <rPr>
        <b/>
        <sz val="12"/>
        <color theme="7"/>
        <rFont val="Calibri"/>
        <family val="2"/>
        <scheme val="minor"/>
      </rPr>
      <t>Level 3 - 0</t>
    </r>
    <r>
      <rPr>
        <b/>
        <sz val="12"/>
        <color theme="5"/>
        <rFont val="Calibri"/>
        <family val="2"/>
        <scheme val="minor"/>
      </rPr>
      <t xml:space="preserve">
</t>
    </r>
    <r>
      <rPr>
        <b/>
        <sz val="12"/>
        <color theme="9"/>
        <rFont val="Calibri"/>
        <family val="2"/>
        <scheme val="minor"/>
      </rPr>
      <t>Level 4 - 0</t>
    </r>
    <r>
      <rPr>
        <b/>
        <sz val="12"/>
        <color theme="5"/>
        <rFont val="Calibri"/>
        <family val="2"/>
        <scheme val="minor"/>
      </rPr>
      <t xml:space="preserve">
</t>
    </r>
    <r>
      <rPr>
        <b/>
        <sz val="12"/>
        <color theme="9" tint="-0.249977111117893"/>
        <rFont val="Calibri"/>
        <family val="2"/>
        <scheme val="minor"/>
      </rPr>
      <t>Level 5</t>
    </r>
    <r>
      <rPr>
        <b/>
        <sz val="12"/>
        <color theme="5"/>
        <rFont val="Calibri"/>
        <family val="2"/>
        <scheme val="minor"/>
      </rPr>
      <t xml:space="preserve"> </t>
    </r>
    <r>
      <rPr>
        <b/>
        <sz val="12"/>
        <color theme="9" tint="-0.249977111117893"/>
        <rFont val="Calibri"/>
        <family val="2"/>
        <scheme val="minor"/>
      </rPr>
      <t>- 0</t>
    </r>
  </si>
  <si>
    <r>
      <rPr>
        <b/>
        <sz val="12"/>
        <color rgb="FF70AD47"/>
        <rFont val="Calibri"/>
        <family val="2"/>
        <scheme val="minor"/>
      </rPr>
      <t xml:space="preserve">0 meeting target
</t>
    </r>
    <r>
      <rPr>
        <b/>
        <sz val="12"/>
        <color rgb="FFFF0000"/>
        <rFont val="Calibri"/>
        <family val="2"/>
        <scheme val="minor"/>
      </rPr>
      <t xml:space="preserve">12 Not meeting target
</t>
    </r>
    <r>
      <rPr>
        <b/>
        <sz val="12"/>
        <color rgb="FFBFBFBF"/>
        <rFont val="Calibri"/>
        <family val="2"/>
        <scheme val="minor"/>
      </rPr>
      <t xml:space="preserve">0 not in scope
</t>
    </r>
    <r>
      <rPr>
        <b/>
        <sz val="12"/>
        <color rgb="FFFFC000"/>
        <rFont val="Calibri"/>
        <family val="2"/>
        <scheme val="minor"/>
      </rPr>
      <t xml:space="preserve">1 Unconfirmed
</t>
    </r>
    <r>
      <rPr>
        <b/>
        <sz val="12"/>
        <color rgb="FFBF8F00"/>
        <rFont val="Calibri"/>
        <family val="2"/>
        <scheme val="minor"/>
      </rPr>
      <t>13 missing info</t>
    </r>
  </si>
  <si>
    <r>
      <rPr>
        <b/>
        <sz val="12"/>
        <color rgb="FF70AD47"/>
        <rFont val="Calibri"/>
        <family val="2"/>
        <scheme val="minor"/>
      </rPr>
      <t xml:space="preserve">0 meeting target
</t>
    </r>
    <r>
      <rPr>
        <b/>
        <sz val="12"/>
        <color rgb="FFFF0000"/>
        <rFont val="Calibri"/>
        <family val="2"/>
        <scheme val="minor"/>
      </rPr>
      <t xml:space="preserve">0 Not meeting target
</t>
    </r>
    <r>
      <rPr>
        <b/>
        <sz val="12"/>
        <color rgb="FFBFBFBF"/>
        <rFont val="Calibri"/>
        <family val="2"/>
        <scheme val="minor"/>
      </rPr>
      <t xml:space="preserve">8 not in scope
</t>
    </r>
    <r>
      <rPr>
        <b/>
        <sz val="12"/>
        <color rgb="FFFFC000"/>
        <rFont val="Calibri"/>
        <family val="2"/>
        <scheme val="minor"/>
      </rPr>
      <t xml:space="preserve">0 Unconfirmed
</t>
    </r>
    <r>
      <rPr>
        <b/>
        <sz val="12"/>
        <color rgb="FFBF8F00"/>
        <rFont val="Calibri"/>
        <family val="2"/>
        <scheme val="minor"/>
      </rPr>
      <t>6 missing info</t>
    </r>
  </si>
  <si>
    <t>1 Pathway 1
2 Pathway 2
0 Pathway 3
3 No Pathway</t>
  </si>
  <si>
    <r>
      <rPr>
        <b/>
        <sz val="12"/>
        <color rgb="FF70AD47"/>
        <rFont val="Calibri"/>
        <family val="2"/>
        <scheme val="minor"/>
      </rPr>
      <t xml:space="preserve">2 meeting target
</t>
    </r>
    <r>
      <rPr>
        <b/>
        <sz val="12"/>
        <color rgb="FFFF0000"/>
        <rFont val="Calibri"/>
        <family val="2"/>
        <scheme val="minor"/>
      </rPr>
      <t xml:space="preserve">6 Not meeting target
</t>
    </r>
    <r>
      <rPr>
        <b/>
        <sz val="12"/>
        <color rgb="FFBFBFBF"/>
        <rFont val="Calibri"/>
        <family val="2"/>
        <scheme val="minor"/>
      </rPr>
      <t xml:space="preserve">0 not in scope
</t>
    </r>
    <r>
      <rPr>
        <b/>
        <sz val="12"/>
        <color rgb="FFFFC000"/>
        <rFont val="Calibri"/>
        <family val="2"/>
        <scheme val="minor"/>
      </rPr>
      <t xml:space="preserve">0 Unconfirmed
</t>
    </r>
    <r>
      <rPr>
        <b/>
        <sz val="12"/>
        <color rgb="FFBF8F00"/>
        <rFont val="Calibri"/>
        <family val="2"/>
        <scheme val="minor"/>
      </rPr>
      <t>4 missing info</t>
    </r>
  </si>
  <si>
    <r>
      <rPr>
        <b/>
        <sz val="12"/>
        <color rgb="FF70AD47"/>
        <rFont val="Calibri"/>
        <family val="2"/>
        <scheme val="minor"/>
      </rPr>
      <t xml:space="preserve">2 meeting target
</t>
    </r>
    <r>
      <rPr>
        <b/>
        <sz val="12"/>
        <color rgb="FFFF0000"/>
        <rFont val="Calibri"/>
        <family val="2"/>
        <scheme val="minor"/>
      </rPr>
      <t xml:space="preserve">4 Not meeting target
</t>
    </r>
    <r>
      <rPr>
        <b/>
        <sz val="12"/>
        <color rgb="FFBFBFBF"/>
        <rFont val="Calibri"/>
        <family val="2"/>
        <scheme val="minor"/>
      </rPr>
      <t xml:space="preserve">0 not in scope
</t>
    </r>
    <r>
      <rPr>
        <b/>
        <sz val="12"/>
        <color rgb="FFFFC000"/>
        <rFont val="Calibri"/>
        <family val="2"/>
        <scheme val="minor"/>
      </rPr>
      <t xml:space="preserve">0 Unconfirmed
</t>
    </r>
    <r>
      <rPr>
        <b/>
        <sz val="12"/>
        <color rgb="FFBF8F00"/>
        <rFont val="Calibri"/>
        <family val="2"/>
        <scheme val="minor"/>
      </rPr>
      <t>4 missing info</t>
    </r>
  </si>
  <si>
    <t>3 of 12 include resiliency analysis</t>
  </si>
  <si>
    <t>4 of 12</t>
  </si>
  <si>
    <t>WORKPLACE (6 projects eligible for Y/E), 2 TBD</t>
  </si>
  <si>
    <t>Hockaday Lower School Re</t>
  </si>
  <si>
    <t>Monse/Nada/Courtney</t>
  </si>
  <si>
    <t>Koko Nomura</t>
  </si>
  <si>
    <t>LJA - New Braunfels-Finish Out</t>
  </si>
  <si>
    <r>
      <t xml:space="preserve">FRB-NIT Space Repurpose  - </t>
    </r>
    <r>
      <rPr>
        <b/>
        <sz val="12"/>
        <color rgb="FFC00000"/>
        <rFont val="Calibri"/>
        <family val="2"/>
        <scheme val="minor"/>
      </rPr>
      <t>Last report is this year</t>
    </r>
  </si>
  <si>
    <t>Dana Weldon</t>
  </si>
  <si>
    <t>Dana Weldon/ Courtney Johnson</t>
  </si>
  <si>
    <t>EY San Francisco CA</t>
  </si>
  <si>
    <t>Design</t>
  </si>
  <si>
    <r>
      <t xml:space="preserve">Mr Cooper  - </t>
    </r>
    <r>
      <rPr>
        <b/>
        <sz val="12"/>
        <color rgb="FFC00000"/>
        <rFont val="Calibri"/>
        <family val="2"/>
        <scheme val="minor"/>
      </rPr>
      <t>Last report is this year</t>
    </r>
  </si>
  <si>
    <t>Amber Wernik / Caroline</t>
  </si>
  <si>
    <t>Melissa Cookesey</t>
  </si>
  <si>
    <t>EY - Fort Worth</t>
  </si>
  <si>
    <t>EY - Austin</t>
  </si>
  <si>
    <t>Divcon Controls Reno (a little more than a Test Fit)</t>
  </si>
  <si>
    <t>done</t>
  </si>
  <si>
    <t>Amber Wernik / Razan</t>
  </si>
  <si>
    <t>JLL Father - Test Fit</t>
  </si>
  <si>
    <t>Amber Wernik</t>
  </si>
  <si>
    <t>Ocean Healthcare</t>
  </si>
  <si>
    <t>Farther Dallas Office</t>
  </si>
  <si>
    <t>FRB - LEU Bollard Replacement</t>
  </si>
  <si>
    <t>Tiny Proj</t>
  </si>
  <si>
    <t>National Medal of Honor Museum</t>
  </si>
  <si>
    <t>just fixtures</t>
  </si>
  <si>
    <t>Courtney Johnston</t>
  </si>
  <si>
    <t>Bank of America - Conroe Merrill Cashier</t>
  </si>
  <si>
    <t>Bank of America - 4500 Amon Carter E</t>
  </si>
  <si>
    <r>
      <t>Bank of America - Merill - Marble Falls -</t>
    </r>
    <r>
      <rPr>
        <b/>
        <sz val="12"/>
        <color rgb="FFC00000"/>
        <rFont val="Calibri"/>
        <family val="2"/>
        <scheme val="minor"/>
      </rPr>
      <t xml:space="preserve"> material selection scope</t>
    </r>
  </si>
  <si>
    <r>
      <t xml:space="preserve">Hockaday Student Center - </t>
    </r>
    <r>
      <rPr>
        <b/>
        <sz val="12"/>
        <color rgb="FFC00000"/>
        <rFont val="Calibri"/>
        <family val="2"/>
        <scheme val="minor"/>
      </rPr>
      <t>On Hold</t>
    </r>
  </si>
  <si>
    <t>CI SUMMARY</t>
  </si>
  <si>
    <r>
      <rPr>
        <b/>
        <sz val="12"/>
        <color rgb="FF70AD47"/>
        <rFont val="Calibri"/>
        <family val="2"/>
        <scheme val="minor"/>
      </rPr>
      <t xml:space="preserve">2 includes info
</t>
    </r>
    <r>
      <rPr>
        <b/>
        <sz val="12"/>
        <color rgb="FFC00000"/>
        <rFont val="Calibri"/>
        <family val="2"/>
        <scheme val="minor"/>
      </rPr>
      <t>10 missing info</t>
    </r>
  </si>
  <si>
    <r>
      <rPr>
        <b/>
        <sz val="12"/>
        <color rgb="FF70AD47"/>
        <rFont val="Calibri"/>
        <family val="2"/>
        <scheme val="minor"/>
      </rPr>
      <t xml:space="preserve">3 includes info
</t>
    </r>
    <r>
      <rPr>
        <b/>
        <sz val="12"/>
        <color rgb="FFC00000"/>
        <rFont val="Calibri"/>
        <family val="2"/>
        <scheme val="minor"/>
      </rPr>
      <t>9 missing info</t>
    </r>
  </si>
  <si>
    <r>
      <rPr>
        <b/>
        <sz val="12"/>
        <color rgb="FF70AD47"/>
        <rFont val="Calibri"/>
        <family val="2"/>
        <scheme val="minor"/>
      </rPr>
      <t xml:space="preserve">2 meeting target
</t>
    </r>
    <r>
      <rPr>
        <b/>
        <sz val="12"/>
        <color rgb="FFFF0000"/>
        <rFont val="Calibri"/>
        <family val="2"/>
        <scheme val="minor"/>
      </rPr>
      <t xml:space="preserve">4 Not meeting target
</t>
    </r>
    <r>
      <rPr>
        <b/>
        <sz val="12"/>
        <color rgb="FFBFBFBF"/>
        <rFont val="Calibri"/>
        <family val="2"/>
        <scheme val="minor"/>
      </rPr>
      <t xml:space="preserve">0 not in scope
</t>
    </r>
    <r>
      <rPr>
        <b/>
        <sz val="12"/>
        <color rgb="FFFFC000"/>
        <rFont val="Calibri"/>
        <family val="2"/>
        <scheme val="minor"/>
      </rPr>
      <t xml:space="preserve">2 Unconfirmed
</t>
    </r>
    <r>
      <rPr>
        <b/>
        <sz val="12"/>
        <color rgb="FFBF8F00"/>
        <rFont val="Calibri"/>
        <family val="2"/>
        <scheme val="minor"/>
      </rPr>
      <t>5 missing info</t>
    </r>
  </si>
  <si>
    <t>2 Pathway 1
1 Pathway 2
0 Pathway 3
1 No Pathway</t>
  </si>
  <si>
    <r>
      <rPr>
        <b/>
        <sz val="12"/>
        <color rgb="FF70AD47"/>
        <rFont val="Calibri"/>
        <family val="2"/>
        <scheme val="minor"/>
      </rPr>
      <t xml:space="preserve">0 meeting target
</t>
    </r>
    <r>
      <rPr>
        <b/>
        <sz val="12"/>
        <color rgb="FFFF0000"/>
        <rFont val="Calibri"/>
        <family val="2"/>
        <scheme val="minor"/>
      </rPr>
      <t xml:space="preserve">2 Not meeting target
</t>
    </r>
    <r>
      <rPr>
        <b/>
        <sz val="12"/>
        <color rgb="FFBFBFBF"/>
        <rFont val="Calibri"/>
        <family val="2"/>
        <scheme val="minor"/>
      </rPr>
      <t xml:space="preserve">0 not in scope
</t>
    </r>
    <r>
      <rPr>
        <b/>
        <sz val="12"/>
        <color rgb="FFFFC000"/>
        <rFont val="Calibri"/>
        <family val="2"/>
        <scheme val="minor"/>
      </rPr>
      <t xml:space="preserve">2 Unconfirmed
</t>
    </r>
    <r>
      <rPr>
        <b/>
        <sz val="12"/>
        <color rgb="FFBF8F00"/>
        <rFont val="Calibri"/>
        <family val="2"/>
        <scheme val="minor"/>
      </rPr>
      <t>4 missing info</t>
    </r>
  </si>
  <si>
    <t>3 of 8 include resiliency analysis</t>
  </si>
  <si>
    <t>3 of 8</t>
  </si>
  <si>
    <t>LJA Round Rock TX Test Fit</t>
  </si>
  <si>
    <t>LJA Tampa FL Test Fit</t>
  </si>
  <si>
    <t>Acadian TI</t>
  </si>
  <si>
    <t xml:space="preserve">EY Austin "Test Fit" </t>
  </si>
  <si>
    <t>Courtney</t>
  </si>
  <si>
    <t>Hockday Lower School Renovation</t>
  </si>
  <si>
    <t>Hockday - Master Plan</t>
  </si>
  <si>
    <t>Micah Davis</t>
  </si>
  <si>
    <t>Hockday - Maintenance Trailer Replacement</t>
  </si>
  <si>
    <t xml:space="preserve">Hockday </t>
  </si>
  <si>
    <t>BSWH - Public Safety</t>
  </si>
  <si>
    <t>Bank of America</t>
  </si>
  <si>
    <t xml:space="preserve">FRB - </t>
  </si>
  <si>
    <t>Republic Finance - should be done</t>
  </si>
  <si>
    <t>EY Stamford Renovation</t>
  </si>
  <si>
    <t>HCA - Methodist Hospital Parking Garage</t>
  </si>
  <si>
    <t>147967 SAN</t>
  </si>
  <si>
    <t>No Contract yet</t>
  </si>
  <si>
    <t>232002 SAN</t>
  </si>
  <si>
    <r>
      <t xml:space="preserve">Methodist Hosp Westover Hills ICU Shell - </t>
    </r>
    <r>
      <rPr>
        <b/>
        <sz val="12"/>
        <color rgb="FFC00000"/>
        <rFont val="Calibri"/>
        <family val="2"/>
        <scheme val="minor"/>
      </rPr>
      <t>650sf</t>
    </r>
  </si>
  <si>
    <t>232005 SAN</t>
  </si>
  <si>
    <t>HCA Methodist Women's Service Master Plan - planning</t>
  </si>
  <si>
    <r>
      <t xml:space="preserve">Tenet Health - Buckeye Hospital   </t>
    </r>
    <r>
      <rPr>
        <b/>
        <sz val="12"/>
        <color rgb="FFC00000"/>
        <rFont val="Calibri"/>
        <family val="2"/>
        <scheme val="minor"/>
      </rPr>
      <t>This is the last report - Done</t>
    </r>
  </si>
  <si>
    <r>
      <t>BSWH Plano MP Updates -</t>
    </r>
    <r>
      <rPr>
        <b/>
        <sz val="12"/>
        <color rgb="FFC00000"/>
        <rFont val="Calibri"/>
        <family val="2"/>
        <scheme val="minor"/>
      </rPr>
      <t xml:space="preserve"> Master Plan</t>
    </r>
  </si>
  <si>
    <r>
      <t xml:space="preserve">THCDS Plano - AHU Replacement - </t>
    </r>
    <r>
      <rPr>
        <b/>
        <sz val="12"/>
        <color rgb="FFC00000"/>
        <rFont val="Calibri"/>
        <family val="2"/>
        <scheme val="minor"/>
      </rPr>
      <t>500 sf</t>
    </r>
  </si>
  <si>
    <r>
      <t xml:space="preserve">BUMC R&amp;F Renovation </t>
    </r>
    <r>
      <rPr>
        <b/>
        <sz val="12"/>
        <color rgb="FFC00000"/>
        <rFont val="Calibri"/>
        <family val="2"/>
        <scheme val="minor"/>
      </rPr>
      <t>small</t>
    </r>
  </si>
  <si>
    <r>
      <t xml:space="preserve">BUMC ED Rad Room Renovation </t>
    </r>
    <r>
      <rPr>
        <b/>
        <sz val="12"/>
        <color rgb="FFC00000"/>
        <rFont val="Calibri"/>
        <family val="2"/>
        <scheme val="minor"/>
      </rPr>
      <t>small</t>
    </r>
  </si>
  <si>
    <r>
      <t xml:space="preserve">BUMC Nuc Med Rm 6 </t>
    </r>
    <r>
      <rPr>
        <b/>
        <sz val="12"/>
        <color rgb="FFC00000"/>
        <rFont val="Calibri"/>
        <family val="2"/>
        <scheme val="minor"/>
      </rPr>
      <t>small</t>
    </r>
  </si>
  <si>
    <r>
      <t xml:space="preserve">THP Fluoro Replacement </t>
    </r>
    <r>
      <rPr>
        <b/>
        <sz val="12"/>
        <color rgb="FFC00000"/>
        <rFont val="Calibri"/>
        <family val="2"/>
        <scheme val="minor"/>
      </rPr>
      <t>small</t>
    </r>
  </si>
  <si>
    <r>
      <t xml:space="preserve">THP Nuc Med CT Replacement </t>
    </r>
    <r>
      <rPr>
        <b/>
        <sz val="12"/>
        <color rgb="FFC00000"/>
        <rFont val="Calibri"/>
        <family val="2"/>
        <scheme val="minor"/>
      </rPr>
      <t>small</t>
    </r>
  </si>
  <si>
    <r>
      <t xml:space="preserve">BSWH Grapevine-Hybrid OR </t>
    </r>
    <r>
      <rPr>
        <b/>
        <sz val="12"/>
        <color rgb="FFC00000"/>
        <rFont val="Calibri"/>
        <family val="2"/>
        <scheme val="minor"/>
      </rPr>
      <t>small</t>
    </r>
  </si>
  <si>
    <t>BUMC MRI Room 1 Replacement</t>
  </si>
  <si>
    <t>BUMC CT Room Build Out</t>
  </si>
  <si>
    <r>
      <t xml:space="preserve">BSWH Plano-Hybrid OR Renovation </t>
    </r>
    <r>
      <rPr>
        <b/>
        <sz val="12"/>
        <color rgb="FFC00000"/>
        <rFont val="Calibri"/>
        <family val="2"/>
        <scheme val="minor"/>
      </rPr>
      <t>small</t>
    </r>
  </si>
  <si>
    <r>
      <t xml:space="preserve">BSWI CT Scanner Addition </t>
    </r>
    <r>
      <rPr>
        <b/>
        <sz val="12"/>
        <color rgb="FFC00000"/>
        <rFont val="Calibri"/>
        <family val="2"/>
        <scheme val="minor"/>
      </rPr>
      <t>small</t>
    </r>
  </si>
  <si>
    <r>
      <t xml:space="preserve">THP Helipad Relocation </t>
    </r>
    <r>
      <rPr>
        <b/>
        <sz val="12"/>
        <color rgb="FFC00000"/>
        <rFont val="Calibri"/>
        <family val="2"/>
        <scheme val="minor"/>
      </rPr>
      <t>small</t>
    </r>
  </si>
  <si>
    <r>
      <t xml:space="preserve">THA Cysto Room </t>
    </r>
    <r>
      <rPr>
        <b/>
        <sz val="12"/>
        <color rgb="FFC00000"/>
        <rFont val="Calibri"/>
        <family val="2"/>
        <scheme val="minor"/>
      </rPr>
      <t>small</t>
    </r>
  </si>
  <si>
    <t>BSWH Grapevine OR/SPD</t>
  </si>
  <si>
    <t>BSW Temple Radiation Oncology</t>
  </si>
  <si>
    <r>
      <t>THCDS Plano - AHU Replacement</t>
    </r>
    <r>
      <rPr>
        <b/>
        <sz val="12"/>
        <color rgb="FFC00000"/>
        <rFont val="Calibri"/>
        <family val="2"/>
        <scheme val="minor"/>
      </rPr>
      <t xml:space="preserve"> - small</t>
    </r>
  </si>
  <si>
    <t>Dormant</t>
  </si>
  <si>
    <t>CLOSED</t>
  </si>
  <si>
    <t>PPP Fluoro Replacement</t>
  </si>
  <si>
    <t>DORMANT</t>
  </si>
  <si>
    <r>
      <t xml:space="preserve">EY - Tampa, FL </t>
    </r>
    <r>
      <rPr>
        <b/>
        <sz val="12"/>
        <color rgb="FFC00000"/>
        <rFont val="Calibri"/>
        <family val="2"/>
        <scheme val="minor"/>
      </rPr>
      <t>(2024 - to remove)</t>
    </r>
  </si>
  <si>
    <t>ULL Health Care Education</t>
  </si>
  <si>
    <t>Sabna Bhat</t>
  </si>
  <si>
    <t>Now Devin W</t>
  </si>
  <si>
    <r>
      <t xml:space="preserve">HCA-St. Marks Cath Lab </t>
    </r>
    <r>
      <rPr>
        <b/>
        <sz val="12"/>
        <color rgb="FFC00000"/>
        <rFont val="Calibri"/>
        <family val="2"/>
        <scheme val="minor"/>
      </rPr>
      <t>(ends in 2026)</t>
    </r>
  </si>
  <si>
    <r>
      <t xml:space="preserve">HCA - St David's Hospital Kyle </t>
    </r>
    <r>
      <rPr>
        <b/>
        <sz val="12"/>
        <color rgb="FFC00000"/>
        <rFont val="Calibri"/>
        <family val="2"/>
        <scheme val="minor"/>
      </rPr>
      <t>(HOLD)</t>
    </r>
  </si>
  <si>
    <t>Devin W</t>
  </si>
  <si>
    <r>
      <t xml:space="preserve">HCA - CCMC Bay Area Bed Tower Exp </t>
    </r>
    <r>
      <rPr>
        <b/>
        <sz val="12"/>
        <color rgb="FFC00000"/>
        <rFont val="Calibri"/>
        <family val="2"/>
        <scheme val="minor"/>
      </rPr>
      <t>(Has time available)</t>
    </r>
  </si>
  <si>
    <r>
      <t xml:space="preserve">HCA - CCMA Doctor's Regional ICU CVICU R </t>
    </r>
    <r>
      <rPr>
        <b/>
        <sz val="12"/>
        <color rgb="FFC00000"/>
        <rFont val="Calibri"/>
        <family val="2"/>
        <scheme val="minor"/>
      </rPr>
      <t>(same as above)</t>
    </r>
  </si>
  <si>
    <t>HCA - medical City Fort Worth CBC Subunit</t>
  </si>
  <si>
    <t>HOLD</t>
  </si>
  <si>
    <r>
      <t xml:space="preserve">22DFW </t>
    </r>
    <r>
      <rPr>
        <b/>
        <sz val="12"/>
        <color rgb="FFC00000"/>
        <rFont val="Calibri"/>
        <family val="2"/>
        <scheme val="minor"/>
      </rPr>
      <t>(starting on 2026)</t>
    </r>
  </si>
  <si>
    <t>TestFit</t>
  </si>
  <si>
    <t>DD/CD</t>
  </si>
  <si>
    <t>EY Dallas Phase 2</t>
  </si>
  <si>
    <r>
      <t xml:space="preserve">BofA 3rd Fl GO  - </t>
    </r>
    <r>
      <rPr>
        <b/>
        <sz val="12"/>
        <color rgb="FFC00000"/>
        <rFont val="Calibri"/>
        <family val="2"/>
        <scheme val="minor"/>
      </rPr>
      <t>Last report is this year</t>
    </r>
  </si>
  <si>
    <t>Material - 3 Total Questions</t>
  </si>
  <si>
    <t>Air - 1 Total Question</t>
  </si>
  <si>
    <t>Switch List Vetted</t>
  </si>
  <si>
    <r>
      <t xml:space="preserve">Parker Univ. Conference Center </t>
    </r>
    <r>
      <rPr>
        <b/>
        <sz val="12"/>
        <color rgb="FFC00000"/>
        <rFont val="Calibri"/>
        <family val="2"/>
        <scheme val="minor"/>
      </rPr>
      <t>(2026)</t>
    </r>
  </si>
  <si>
    <t>Pathway 1</t>
  </si>
  <si>
    <t>No Pathway</t>
  </si>
  <si>
    <t>Pathway 3</t>
  </si>
  <si>
    <t>Pathway 2</t>
  </si>
  <si>
    <t>YES-ISH</t>
  </si>
  <si>
    <r>
      <t>MDMC: NICU Renovation -</t>
    </r>
    <r>
      <rPr>
        <b/>
        <sz val="12"/>
        <color rgb="FFFF0000"/>
        <rFont val="Calibri"/>
        <family val="2"/>
        <scheme val="minor"/>
      </rPr>
      <t xml:space="preserve"> </t>
    </r>
    <r>
      <rPr>
        <b/>
        <sz val="12"/>
        <color rgb="FFC00000"/>
        <rFont val="Calibri"/>
        <family val="2"/>
        <scheme val="minor"/>
      </rPr>
      <t>on hold</t>
    </r>
  </si>
  <si>
    <t>Cambridge TFO Core Physical Medicine</t>
  </si>
  <si>
    <t>CA Start in 2026</t>
  </si>
  <si>
    <t>Redbird Children's-Tenant Finish -Out</t>
  </si>
  <si>
    <t>SD issue in 2026</t>
  </si>
  <si>
    <t>Duplicate of Row 80</t>
  </si>
  <si>
    <t>HCA CJW Med Ctr-Chippenham 5th Floor</t>
  </si>
  <si>
    <t>YES - Tagged wrong</t>
  </si>
  <si>
    <t>NO - 2026</t>
  </si>
  <si>
    <t>STUDY</t>
  </si>
  <si>
    <t>DENVER PROJECT</t>
  </si>
  <si>
    <t>YES?</t>
  </si>
  <si>
    <t>TBD - Non-Primary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</si>
</sst>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theme="9"/>
      <name val="Calibri"/>
      <family val="2"/>
      <scheme val="minor"/>
    </font>
    <font>
      <b/>
      <sz val="12"/>
      <color theme="5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7"/>
      <name val="Calibri"/>
      <family val="2"/>
      <scheme val="minor"/>
    </font>
    <font>
      <b/>
      <sz val="12"/>
      <color rgb="FFBFBFBF"/>
      <name val="Calibri"/>
      <family val="2"/>
      <scheme val="minor"/>
    </font>
    <font>
      <b/>
      <sz val="12"/>
      <color rgb="FF70AD47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D0CECE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FC000"/>
      <name val="Calibri"/>
      <family val="2"/>
      <scheme val="minor"/>
    </font>
    <font>
      <b/>
      <sz val="12"/>
      <color rgb="FFBF8F00"/>
      <name val="Calibri"/>
      <family val="2"/>
      <scheme val="minor"/>
    </font>
    <font>
      <b/>
      <sz val="12"/>
      <color theme="0" tint="-0.249977111117893"/>
      <name val="Calibri"/>
      <family val="2"/>
      <scheme val="minor"/>
    </font>
    <font>
      <b/>
      <sz val="12"/>
      <color theme="7" tint="-0.249977111117893"/>
      <name val="Calibri"/>
      <family val="2"/>
      <scheme val="minor"/>
    </font>
    <font>
      <b/>
      <sz val="12"/>
      <color rgb="FFEE0000"/>
      <name val="Calibri"/>
      <family val="2"/>
      <scheme val="minor"/>
    </font>
    <font>
      <b/>
      <sz val="12"/>
      <color rgb="FFED7D31"/>
      <name val="Calibri"/>
      <family val="2"/>
      <scheme val="minor"/>
    </font>
    <font>
      <sz val="12"/>
      <color rgb="FFC00000"/>
      <name val="Calibri"/>
      <family val="2"/>
      <scheme val="minor"/>
    </font>
    <font>
      <sz val="12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b/>
      <sz val="12"/>
      <color theme="2" tint="-0.249977111117893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7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rgb="FFFFFFFF"/>
      </left>
      <right/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medium">
        <color rgb="FFFFFFFF"/>
      </right>
      <top/>
      <bottom/>
      <diagonal/>
    </border>
    <border>
      <left style="thin">
        <color theme="0"/>
      </left>
      <right style="medium">
        <color rgb="FFFFFFFF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/>
      <top/>
      <bottom style="medium">
        <color rgb="FFFFFFFF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thin">
        <color rgb="FFFFFFFF"/>
      </left>
      <right/>
      <top style="thin">
        <color theme="0"/>
      </top>
      <bottom style="medium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 style="thin">
        <color theme="0"/>
      </top>
      <bottom/>
      <diagonal/>
    </border>
    <border>
      <left/>
      <right style="thin">
        <color rgb="FFFFFFFF"/>
      </right>
      <top style="thin">
        <color theme="0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9">
    <xf numFmtId="0" fontId="0" fillId="0" borderId="0" xfId="0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/>
    </xf>
    <xf numFmtId="9" fontId="12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11" fillId="11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12" fillId="11" borderId="0" xfId="0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0" fontId="9" fillId="11" borderId="0" xfId="0" applyFont="1" applyFill="1" applyAlignment="1">
      <alignment vertical="center"/>
    </xf>
    <xf numFmtId="0" fontId="6" fillId="0" borderId="0" xfId="0" applyFont="1" applyAlignment="1">
      <alignment horizontal="center" wrapText="1"/>
    </xf>
    <xf numFmtId="0" fontId="6" fillId="11" borderId="0" xfId="0" applyFont="1" applyFill="1" applyAlignment="1">
      <alignment horizontal="center" vertical="center" wrapText="1"/>
    </xf>
    <xf numFmtId="9" fontId="11" fillId="0" borderId="0" xfId="0" applyNumberFormat="1" applyFont="1" applyAlignment="1">
      <alignment horizontal="center"/>
    </xf>
    <xf numFmtId="0" fontId="14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2" fillId="8" borderId="0" xfId="0" applyFont="1" applyFill="1" applyAlignment="1">
      <alignment horizontal="center"/>
    </xf>
    <xf numFmtId="0" fontId="4" fillId="3" borderId="17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2" fontId="12" fillId="0" borderId="0" xfId="0" applyNumberFormat="1" applyFont="1" applyAlignment="1">
      <alignment horizontal="center"/>
    </xf>
    <xf numFmtId="2" fontId="11" fillId="11" borderId="0" xfId="0" applyNumberFormat="1" applyFont="1" applyFill="1" applyAlignment="1">
      <alignment horizontal="center"/>
    </xf>
    <xf numFmtId="2" fontId="11" fillId="0" borderId="0" xfId="0" applyNumberFormat="1" applyFont="1" applyAlignment="1">
      <alignment horizontal="center"/>
    </xf>
    <xf numFmtId="2" fontId="6" fillId="11" borderId="0" xfId="0" applyNumberFormat="1" applyFont="1" applyFill="1" applyAlignment="1">
      <alignment horizontal="center"/>
    </xf>
    <xf numFmtId="2" fontId="4" fillId="3" borderId="15" xfId="0" applyNumberFormat="1" applyFont="1" applyFill="1" applyBorder="1" applyAlignment="1">
      <alignment horizontal="center" vertical="center" wrapText="1"/>
    </xf>
    <xf numFmtId="2" fontId="4" fillId="3" borderId="16" xfId="0" applyNumberFormat="1" applyFont="1" applyFill="1" applyBorder="1" applyAlignment="1">
      <alignment horizontal="center" vertical="center" wrapText="1"/>
    </xf>
    <xf numFmtId="1" fontId="12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1" fillId="11" borderId="0" xfId="0" applyFont="1" applyFill="1" applyAlignment="1">
      <alignment horizontal="left"/>
    </xf>
    <xf numFmtId="0" fontId="10" fillId="0" borderId="0" xfId="0" applyFont="1" applyAlignment="1">
      <alignment horizontal="left" vertical="center" wrapText="1"/>
    </xf>
    <xf numFmtId="0" fontId="3" fillId="11" borderId="0" xfId="0" applyFont="1" applyFill="1" applyAlignment="1">
      <alignment horizontal="left"/>
    </xf>
    <xf numFmtId="0" fontId="6" fillId="0" borderId="0" xfId="0" applyFont="1" applyAlignment="1">
      <alignment horizontal="left" wrapText="1"/>
    </xf>
    <xf numFmtId="0" fontId="9" fillId="11" borderId="0" xfId="0" applyFont="1" applyFill="1" applyAlignment="1">
      <alignment horizontal="left" vertical="center" wrapText="1"/>
    </xf>
    <xf numFmtId="0" fontId="6" fillId="11" borderId="0" xfId="0" applyFont="1" applyFill="1" applyAlignment="1">
      <alignment horizontal="left" vertical="center" wrapText="1"/>
    </xf>
    <xf numFmtId="9" fontId="11" fillId="8" borderId="0" xfId="0" applyNumberFormat="1" applyFont="1" applyFill="1" applyAlignment="1">
      <alignment horizontal="center"/>
    </xf>
    <xf numFmtId="0" fontId="11" fillId="0" borderId="16" xfId="0" applyFont="1" applyBorder="1" applyAlignment="1">
      <alignment horizontal="center"/>
    </xf>
    <xf numFmtId="9" fontId="11" fillId="0" borderId="16" xfId="0" applyNumberFormat="1" applyFont="1" applyBorder="1" applyAlignment="1">
      <alignment horizontal="center"/>
    </xf>
    <xf numFmtId="1" fontId="12" fillId="0" borderId="16" xfId="0" applyNumberFormat="1" applyFont="1" applyBorder="1" applyAlignment="1">
      <alignment horizontal="center"/>
    </xf>
    <xf numFmtId="2" fontId="12" fillId="0" borderId="16" xfId="0" applyNumberFormat="1" applyFont="1" applyBorder="1" applyAlignment="1">
      <alignment horizontal="center"/>
    </xf>
    <xf numFmtId="9" fontId="12" fillId="0" borderId="16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6" fillId="0" borderId="16" xfId="0" applyFont="1" applyBorder="1" applyAlignment="1">
      <alignment horizontal="left" wrapText="1"/>
    </xf>
    <xf numFmtId="9" fontId="3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9" fontId="14" fillId="0" borderId="0" xfId="1" applyFont="1" applyAlignment="1">
      <alignment horizontal="center"/>
    </xf>
    <xf numFmtId="9" fontId="14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wrapText="1"/>
    </xf>
    <xf numFmtId="9" fontId="14" fillId="0" borderId="0" xfId="1" applyFont="1" applyFill="1" applyAlignment="1">
      <alignment horizontal="center"/>
    </xf>
    <xf numFmtId="2" fontId="14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9" fontId="3" fillId="15" borderId="0" xfId="0" applyNumberFormat="1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/>
    <xf numFmtId="0" fontId="6" fillId="12" borderId="0" xfId="0" applyFont="1" applyFill="1"/>
    <xf numFmtId="0" fontId="6" fillId="12" borderId="0" xfId="0" applyFont="1" applyFill="1" applyAlignment="1">
      <alignment horizontal="center"/>
    </xf>
    <xf numFmtId="0" fontId="6" fillId="12" borderId="0" xfId="0" applyFont="1" applyFill="1" applyAlignment="1">
      <alignment horizontal="left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8" fillId="0" borderId="0" xfId="0" applyFont="1"/>
    <xf numFmtId="2" fontId="18" fillId="0" borderId="0" xfId="0" applyNumberFormat="1" applyFont="1" applyAlignment="1">
      <alignment horizontal="center"/>
    </xf>
    <xf numFmtId="0" fontId="18" fillId="0" borderId="0" xfId="0" applyFont="1" applyAlignment="1">
      <alignment wrapText="1"/>
    </xf>
    <xf numFmtId="0" fontId="20" fillId="14" borderId="0" xfId="0" applyFont="1" applyFill="1" applyAlignment="1">
      <alignment horizontal="left"/>
    </xf>
    <xf numFmtId="0" fontId="20" fillId="9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13" borderId="0" xfId="0" applyFont="1" applyFill="1"/>
    <xf numFmtId="0" fontId="6" fillId="6" borderId="0" xfId="0" applyFont="1" applyFill="1" applyAlignment="1">
      <alignment horizontal="left"/>
    </xf>
    <xf numFmtId="0" fontId="6" fillId="6" borderId="0" xfId="0" applyFont="1" applyFill="1" applyAlignment="1">
      <alignment horizontal="center"/>
    </xf>
    <xf numFmtId="0" fontId="21" fillId="0" borderId="0" xfId="0" applyFont="1"/>
    <xf numFmtId="0" fontId="22" fillId="2" borderId="4" xfId="0" applyFont="1" applyFill="1" applyBorder="1" applyAlignment="1">
      <alignment horizontal="left" vertical="center" wrapText="1"/>
    </xf>
    <xf numFmtId="0" fontId="22" fillId="2" borderId="4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11" borderId="0" xfId="0" applyFont="1" applyFill="1"/>
    <xf numFmtId="0" fontId="3" fillId="11" borderId="0" xfId="0" applyFont="1" applyFill="1"/>
    <xf numFmtId="0" fontId="18" fillId="10" borderId="0" xfId="0" applyFont="1" applyFill="1" applyAlignment="1">
      <alignment horizontal="left"/>
    </xf>
    <xf numFmtId="0" fontId="21" fillId="0" borderId="0" xfId="0" applyFont="1" applyAlignment="1">
      <alignment horizontal="left"/>
    </xf>
    <xf numFmtId="0" fontId="14" fillId="0" borderId="0" xfId="1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21" fillId="8" borderId="0" xfId="0" applyFont="1" applyFill="1"/>
    <xf numFmtId="0" fontId="18" fillId="3" borderId="0" xfId="0" applyFont="1" applyFill="1" applyAlignment="1">
      <alignment horizontal="left"/>
    </xf>
    <xf numFmtId="0" fontId="21" fillId="3" borderId="0" xfId="0" applyFont="1" applyFill="1" applyAlignment="1">
      <alignment horizontal="left"/>
    </xf>
    <xf numFmtId="0" fontId="21" fillId="3" borderId="0" xfId="0" applyFont="1" applyFill="1"/>
    <xf numFmtId="0" fontId="21" fillId="0" borderId="0" xfId="0" applyFont="1" applyAlignment="1">
      <alignment wrapText="1"/>
    </xf>
    <xf numFmtId="0" fontId="23" fillId="3" borderId="0" xfId="0" applyFont="1" applyFill="1" applyAlignment="1">
      <alignment horizontal="left"/>
    </xf>
    <xf numFmtId="14" fontId="6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18" fillId="0" borderId="16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13" fillId="0" borderId="16" xfId="0" applyFont="1" applyBorder="1" applyAlignment="1">
      <alignment horizontal="center"/>
    </xf>
    <xf numFmtId="0" fontId="13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8" fillId="0" borderId="0" xfId="0" applyFont="1" applyAlignment="1">
      <alignment horizontal="left" wrapText="1"/>
    </xf>
    <xf numFmtId="0" fontId="21" fillId="13" borderId="0" xfId="0" applyFont="1" applyFill="1"/>
    <xf numFmtId="0" fontId="18" fillId="0" borderId="0" xfId="0" applyFont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left"/>
    </xf>
    <xf numFmtId="2" fontId="6" fillId="0" borderId="0" xfId="0" applyNumberFormat="1" applyFont="1" applyAlignment="1">
      <alignment horizontal="center"/>
    </xf>
    <xf numFmtId="0" fontId="18" fillId="3" borderId="0" xfId="0" applyFont="1" applyFill="1"/>
    <xf numFmtId="1" fontId="29" fillId="0" borderId="0" xfId="0" applyNumberFormat="1" applyFont="1" applyAlignment="1">
      <alignment horizontal="center"/>
    </xf>
    <xf numFmtId="0" fontId="26" fillId="0" borderId="0" xfId="0" applyFont="1" applyAlignment="1">
      <alignment horizontal="center"/>
    </xf>
    <xf numFmtId="9" fontId="29" fillId="0" borderId="0" xfId="0" applyNumberFormat="1" applyFont="1" applyAlignment="1">
      <alignment horizontal="center"/>
    </xf>
    <xf numFmtId="0" fontId="13" fillId="0" borderId="0" xfId="0" applyFont="1" applyAlignment="1">
      <alignment horizontal="center" wrapText="1"/>
    </xf>
    <xf numFmtId="0" fontId="3" fillId="0" borderId="0" xfId="0" applyFont="1"/>
    <xf numFmtId="14" fontId="21" fillId="0" borderId="0" xfId="0" applyNumberFormat="1" applyFont="1"/>
    <xf numFmtId="9" fontId="14" fillId="8" borderId="0" xfId="0" applyNumberFormat="1" applyFont="1" applyFill="1" applyAlignment="1">
      <alignment horizontal="center"/>
    </xf>
    <xf numFmtId="0" fontId="3" fillId="0" borderId="0" xfId="0" applyFont="1" applyAlignment="1">
      <alignment wrapText="1"/>
    </xf>
    <xf numFmtId="0" fontId="21" fillId="0" borderId="0" xfId="0" quotePrefix="1" applyFont="1" applyAlignment="1">
      <alignment horizontal="left"/>
    </xf>
    <xf numFmtId="9" fontId="26" fillId="0" borderId="0" xfId="0" applyNumberFormat="1" applyFont="1" applyAlignment="1">
      <alignment horizontal="center"/>
    </xf>
    <xf numFmtId="0" fontId="29" fillId="0" borderId="0" xfId="0" applyFont="1" applyAlignment="1">
      <alignment horizontal="center"/>
    </xf>
    <xf numFmtId="2" fontId="21" fillId="0" borderId="0" xfId="0" applyNumberFormat="1" applyFont="1"/>
    <xf numFmtId="164" fontId="29" fillId="0" borderId="0" xfId="0" applyNumberFormat="1" applyFont="1" applyAlignment="1">
      <alignment horizontal="center"/>
    </xf>
    <xf numFmtId="0" fontId="14" fillId="0" borderId="0" xfId="1" applyNumberFormat="1" applyFont="1" applyFill="1" applyAlignment="1">
      <alignment horizontal="center"/>
    </xf>
    <xf numFmtId="0" fontId="21" fillId="3" borderId="0" xfId="0" quotePrefix="1" applyFont="1" applyFill="1" applyAlignment="1">
      <alignment horizontal="left"/>
    </xf>
    <xf numFmtId="0" fontId="19" fillId="0" borderId="0" xfId="0" applyFont="1"/>
    <xf numFmtId="0" fontId="21" fillId="15" borderId="0" xfId="0" applyFont="1" applyFill="1" applyAlignment="1">
      <alignment horizontal="left"/>
    </xf>
    <xf numFmtId="0" fontId="1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0" fillId="0" borderId="0" xfId="0" applyFont="1"/>
    <xf numFmtId="0" fontId="31" fillId="0" borderId="0" xfId="0" applyFont="1"/>
    <xf numFmtId="9" fontId="29" fillId="0" borderId="0" xfId="1" applyFont="1" applyAlignment="1">
      <alignment horizontal="center"/>
    </xf>
    <xf numFmtId="14" fontId="3" fillId="0" borderId="0" xfId="0" applyNumberFormat="1" applyFont="1"/>
    <xf numFmtId="0" fontId="0" fillId="3" borderId="2" xfId="0" applyFill="1" applyBorder="1" applyAlignment="1">
      <alignment horizontal="center" vertical="center" wrapText="1"/>
    </xf>
    <xf numFmtId="2" fontId="0" fillId="3" borderId="2" xfId="0" applyNumberForma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9" fontId="4" fillId="7" borderId="13" xfId="0" applyNumberFormat="1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  <xf numFmtId="0" fontId="33" fillId="0" borderId="0" xfId="0" applyFont="1" applyAlignment="1">
      <alignment horizontal="center"/>
    </xf>
    <xf numFmtId="0" fontId="33" fillId="0" borderId="0" xfId="0" applyFont="1"/>
    <xf numFmtId="2" fontId="33" fillId="0" borderId="0" xfId="0" applyNumberFormat="1" applyFont="1" applyAlignment="1">
      <alignment horizontal="center"/>
    </xf>
    <xf numFmtId="0" fontId="34" fillId="0" borderId="16" xfId="0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0" fontId="22" fillId="5" borderId="7" xfId="0" applyFont="1" applyFill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22" fillId="5" borderId="11" xfId="0" applyFont="1" applyFill="1" applyBorder="1" applyAlignment="1">
      <alignment horizontal="center" vertical="center" wrapText="1"/>
    </xf>
    <xf numFmtId="0" fontId="22" fillId="5" borderId="18" xfId="0" applyFont="1" applyFill="1" applyBorder="1" applyAlignment="1">
      <alignment horizontal="center" vertical="center" wrapText="1"/>
    </xf>
    <xf numFmtId="0" fontId="22" fillId="5" borderId="12" xfId="0" applyFont="1" applyFill="1" applyBorder="1" applyAlignment="1">
      <alignment horizontal="center" vertical="center" wrapText="1"/>
    </xf>
    <xf numFmtId="0" fontId="22" fillId="5" borderId="21" xfId="0" applyFont="1" applyFill="1" applyBorder="1" applyAlignment="1">
      <alignment horizontal="center" vertical="center" wrapText="1"/>
    </xf>
    <xf numFmtId="0" fontId="22" fillId="5" borderId="0" xfId="0" applyFont="1" applyFill="1" applyAlignment="1">
      <alignment horizontal="center" vertical="center" wrapText="1"/>
    </xf>
    <xf numFmtId="0" fontId="35" fillId="0" borderId="0" xfId="0" applyFont="1"/>
    <xf numFmtId="0" fontId="22" fillId="5" borderId="6" xfId="0" applyFont="1" applyFill="1" applyBorder="1" applyAlignment="1">
      <alignment horizontal="left" vertical="center"/>
    </xf>
    <xf numFmtId="0" fontId="22" fillId="5" borderId="6" xfId="0" applyFont="1" applyFill="1" applyBorder="1" applyAlignment="1">
      <alignment vertical="center"/>
    </xf>
    <xf numFmtId="0" fontId="22" fillId="5" borderId="4" xfId="0" applyFont="1" applyFill="1" applyBorder="1" applyAlignment="1">
      <alignment horizontal="center" vertical="center"/>
    </xf>
    <xf numFmtId="0" fontId="22" fillId="5" borderId="4" xfId="0" applyFont="1" applyFill="1" applyBorder="1" applyAlignment="1">
      <alignment vertical="center"/>
    </xf>
    <xf numFmtId="0" fontId="22" fillId="5" borderId="4" xfId="0" applyFont="1" applyFill="1" applyBorder="1" applyAlignment="1">
      <alignment horizontal="left" vertical="center"/>
    </xf>
    <xf numFmtId="0" fontId="22" fillId="5" borderId="3" xfId="0" applyFont="1" applyFill="1" applyBorder="1" applyAlignment="1">
      <alignment horizontal="center" vertical="center"/>
    </xf>
    <xf numFmtId="0" fontId="22" fillId="5" borderId="8" xfId="0" applyFont="1" applyFill="1" applyBorder="1" applyAlignment="1">
      <alignment horizontal="center" vertical="center" wrapText="1"/>
    </xf>
    <xf numFmtId="0" fontId="22" fillId="5" borderId="9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0" fontId="14" fillId="8" borderId="0" xfId="0" applyFont="1" applyFill="1" applyAlignment="1">
      <alignment horizontal="center"/>
    </xf>
    <xf numFmtId="1" fontId="29" fillId="8" borderId="0" xfId="0" applyNumberFormat="1" applyFont="1" applyFill="1" applyAlignment="1">
      <alignment horizontal="center"/>
    </xf>
    <xf numFmtId="164" fontId="29" fillId="8" borderId="0" xfId="0" applyNumberFormat="1" applyFont="1" applyFill="1" applyAlignment="1">
      <alignment horizontal="center"/>
    </xf>
    <xf numFmtId="0" fontId="14" fillId="0" borderId="0" xfId="0" applyFont="1" applyAlignment="1">
      <alignment horizontal="center" wrapText="1"/>
    </xf>
    <xf numFmtId="9" fontId="12" fillId="0" borderId="0" xfId="1" applyFont="1" applyAlignment="1">
      <alignment horizontal="center"/>
    </xf>
    <xf numFmtId="9" fontId="14" fillId="8" borderId="0" xfId="1" applyFont="1" applyFill="1" applyAlignment="1">
      <alignment horizontal="center"/>
    </xf>
    <xf numFmtId="0" fontId="34" fillId="8" borderId="16" xfId="0" applyFont="1" applyFill="1" applyBorder="1" applyAlignment="1">
      <alignment horizontal="center" vertical="center" wrapText="1"/>
    </xf>
    <xf numFmtId="2" fontId="14" fillId="8" borderId="0" xfId="0" applyNumberFormat="1" applyFont="1" applyFill="1" applyAlignment="1">
      <alignment horizontal="center"/>
    </xf>
    <xf numFmtId="0" fontId="12" fillId="8" borderId="16" xfId="0" applyFont="1" applyFill="1" applyBorder="1" applyAlignment="1">
      <alignment horizontal="center"/>
    </xf>
    <xf numFmtId="0" fontId="9" fillId="5" borderId="12" xfId="0" applyFont="1" applyFill="1" applyBorder="1" applyAlignment="1">
      <alignment horizontal="center" vertical="center" wrapText="1"/>
    </xf>
    <xf numFmtId="2" fontId="4" fillId="3" borderId="17" xfId="0" applyNumberFormat="1" applyFont="1" applyFill="1" applyBorder="1" applyAlignment="1">
      <alignment horizontal="center" vertical="center" wrapText="1"/>
    </xf>
    <xf numFmtId="2" fontId="12" fillId="0" borderId="16" xfId="0" applyNumberFormat="1" applyFont="1" applyBorder="1" applyAlignment="1">
      <alignment horizontal="left" wrapText="1"/>
    </xf>
    <xf numFmtId="9" fontId="6" fillId="0" borderId="0" xfId="0" applyNumberFormat="1" applyFont="1" applyAlignment="1">
      <alignment horizontal="center"/>
    </xf>
    <xf numFmtId="0" fontId="3" fillId="8" borderId="0" xfId="0" applyFont="1" applyFill="1" applyAlignment="1">
      <alignment horizontal="center"/>
    </xf>
    <xf numFmtId="1" fontId="3" fillId="8" borderId="0" xfId="0" applyNumberFormat="1" applyFont="1" applyFill="1" applyAlignment="1">
      <alignment horizontal="center"/>
    </xf>
    <xf numFmtId="0" fontId="21" fillId="8" borderId="0" xfId="0" applyFont="1" applyFill="1" applyAlignment="1">
      <alignment horizontal="left"/>
    </xf>
    <xf numFmtId="0" fontId="23" fillId="0" borderId="0" xfId="0" applyFont="1"/>
    <xf numFmtId="0" fontId="14" fillId="0" borderId="0" xfId="0" applyFont="1" applyAlignment="1">
      <alignment horizontal="left"/>
    </xf>
    <xf numFmtId="9" fontId="14" fillId="15" borderId="0" xfId="0" applyNumberFormat="1" applyFont="1" applyFill="1" applyAlignment="1">
      <alignment horizontal="center"/>
    </xf>
    <xf numFmtId="0" fontId="22" fillId="5" borderId="14" xfId="0" applyFont="1" applyFill="1" applyBorder="1" applyAlignment="1">
      <alignment horizontal="center" vertical="center" wrapText="1"/>
    </xf>
    <xf numFmtId="0" fontId="22" fillId="5" borderId="20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left"/>
    </xf>
    <xf numFmtId="0" fontId="6" fillId="0" borderId="19" xfId="0" applyFont="1" applyBorder="1" applyAlignment="1">
      <alignment horizontal="right"/>
    </xf>
    <xf numFmtId="0" fontId="11" fillId="0" borderId="19" xfId="0" applyFont="1" applyBorder="1" applyAlignment="1">
      <alignment horizontal="center"/>
    </xf>
    <xf numFmtId="0" fontId="22" fillId="5" borderId="18" xfId="0" applyFont="1" applyFill="1" applyBorder="1" applyAlignment="1">
      <alignment horizontal="center" vertical="center" wrapText="1"/>
    </xf>
    <xf numFmtId="0" fontId="22" fillId="5" borderId="12" xfId="0" applyFont="1" applyFill="1" applyBorder="1" applyAlignment="1">
      <alignment horizontal="center" vertical="center" wrapText="1"/>
    </xf>
    <xf numFmtId="0" fontId="6" fillId="12" borderId="0" xfId="0" applyFont="1" applyFill="1" applyAlignment="1">
      <alignment horizontal="lef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2CC"/>
      <color rgb="FFFF99CC"/>
      <color rgb="FFF2AD35"/>
      <color rgb="FF008080"/>
      <color rgb="FF2CB1AE"/>
      <color rgb="FF29A8B5"/>
      <color rgb="FF9999FF"/>
      <color rgb="FFCCFFFF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re Suarez" id="{70DC9BD3-F915-40FB-9F4B-45713DBD8D8E}" userId="S::Yure.Suarez@perkinswill.com::6b559212-f420-4cd9-bc46-1e0af9817283" providerId="AD"/>
  <person displayName="Kendall Claus" id="{00E8835E-0098-4B88-B634-B43D9CD8627A}" userId="S::kendall.claus_introba.com#ext#@perkinswill.com::ff887fa5-e775-44ca-a870-9ed90cdf0ec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21" dT="2024-07-01T03:42:05.03" personId="{00E8835E-0098-4B88-B634-B43D9CD8627A}" id="{F442606B-816B-4FF9-9E0B-86D7EB8D47EC}">
    <text>how is this 100% if every category needs info?</text>
  </threadedComment>
  <threadedComment ref="M22" dT="2024-07-01T03:41:59.60" personId="{00E8835E-0098-4B88-B634-B43D9CD8627A}" id="{BBFB137E-2AD6-4D43-AC06-9B4C651DB4C3}">
    <text>how is this 100% if every category needs info?</text>
  </threadedComment>
  <threadedComment ref="M22" dT="2024-07-01T14:27:59.82" personId="{70DC9BD3-F915-40FB-9F4B-45713DBD8D8E}" id="{6123ECEC-1038-4083-9BAB-4AAF654AD055}" parentId="{BBFB137E-2AD6-4D43-AC06-9B4C651DB4C3}">
    <text>I DON’T UNDERSTAND HOW!! Hahaha its an observation for Matt's team</text>
  </threadedComment>
  <threadedComment ref="C54" dT="2024-11-07T17:53:33.25" personId="{70DC9BD3-F915-40FB-9F4B-45713DBD8D8E}" id="{281334BA-23D0-401D-A0A5-586AC26AB7DD}">
    <text>McKenna - Interiors</text>
  </threadedComment>
  <threadedComment ref="C55" dT="2024-11-07T17:53:47.51" personId="{70DC9BD3-F915-40FB-9F4B-45713DBD8D8E}" id="{D5A8F3A1-CA5B-454B-9392-88348564E57F}">
    <text>Kelli - Interiors</text>
  </threadedComment>
  <threadedComment ref="C56" dT="2024-11-07T17:53:59.53" personId="{70DC9BD3-F915-40FB-9F4B-45713DBD8D8E}" id="{0272E2B8-611C-4DBF-8B2C-65EBCE749A49}">
    <text>Kat - Interiors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F0E0B-9850-41E1-87FA-1086335AD327}">
  <sheetPr>
    <pageSetUpPr fitToPage="1"/>
  </sheetPr>
  <dimension ref="A1:EG314"/>
  <sheetViews>
    <sheetView tabSelected="1" zoomScale="85" zoomScaleNormal="85" workbookViewId="0">
      <pane ySplit="7" topLeftCell="A8" activePane="bottomLeft" state="frozen"/>
      <selection activeCell="Q1" sqref="Q1"/>
      <selection pane="bottomLeft" activeCell="C20" sqref="C20"/>
    </sheetView>
  </sheetViews>
  <sheetFormatPr defaultColWidth="8.83984375" defaultRowHeight="15" customHeight="1" x14ac:dyDescent="0.6"/>
  <cols>
    <col min="1" max="1" width="6.41796875" style="76" customWidth="1"/>
    <col min="2" max="2" width="13.83984375" style="84" customWidth="1"/>
    <col min="3" max="3" width="59.578125" style="76" customWidth="1"/>
    <col min="4" max="4" width="13.41796875" style="86" customWidth="1"/>
    <col min="5" max="5" width="14.41796875" style="76" hidden="1" customWidth="1"/>
    <col min="6" max="6" width="13.83984375" style="76" customWidth="1"/>
    <col min="7" max="7" width="21.15625" style="76" hidden="1" customWidth="1"/>
    <col min="8" max="8" width="29.15625" style="84" customWidth="1"/>
    <col min="9" max="9" width="16.15625" style="76" hidden="1" customWidth="1"/>
    <col min="10" max="12" width="18.578125" style="76" hidden="1" customWidth="1"/>
    <col min="13" max="13" width="2.15625" style="76" hidden="1" customWidth="1"/>
    <col min="14" max="14" width="15.83984375" style="76" customWidth="1"/>
    <col min="15" max="15" width="21.83984375" style="76" bestFit="1" customWidth="1"/>
    <col min="16" max="16" width="26.15625" style="76" bestFit="1" customWidth="1"/>
    <col min="17" max="18" width="19.15625" style="76" customWidth="1"/>
    <col min="19" max="19" width="14.15625" style="76" customWidth="1"/>
    <col min="20" max="22" width="13.83984375" style="120" customWidth="1"/>
    <col min="23" max="23" width="13.83984375" style="76" customWidth="1"/>
    <col min="24" max="24" width="24.83984375" style="76" customWidth="1"/>
    <col min="25" max="26" width="13.83984375" style="120" customWidth="1"/>
    <col min="27" max="27" width="13.83984375" style="76" customWidth="1"/>
    <col min="28" max="29" width="21.15625" style="76" customWidth="1"/>
    <col min="30" max="30" width="13.83984375" style="76" customWidth="1"/>
    <col min="31" max="31" width="15.578125" style="76" bestFit="1" customWidth="1"/>
    <col min="32" max="32" width="14.83984375" style="76" customWidth="1"/>
    <col min="33" max="33" width="18.83984375" style="76" customWidth="1"/>
    <col min="34" max="34" width="24.15625" style="76" customWidth="1"/>
    <col min="35" max="35" width="17.83984375" style="76" customWidth="1"/>
    <col min="36" max="37" width="20.83984375" style="76" customWidth="1"/>
    <col min="38" max="49" width="13.83984375" style="76" customWidth="1"/>
    <col min="50" max="50" width="20.83984375" style="76" customWidth="1"/>
    <col min="51" max="53" width="29.83984375" style="76" hidden="1" customWidth="1"/>
    <col min="54" max="55" width="25.578125" style="91" customWidth="1"/>
    <col min="56" max="56" width="20.83984375" style="76" customWidth="1"/>
    <col min="57" max="57" width="54.578125" style="76" bestFit="1" customWidth="1"/>
    <col min="58" max="58" width="39.578125" style="76" hidden="1" customWidth="1"/>
    <col min="59" max="59" width="17.15625" style="76" hidden="1" customWidth="1"/>
    <col min="60" max="60" width="8.83984375" style="76"/>
    <col min="61" max="61" width="10.41796875" style="76" bestFit="1" customWidth="1"/>
    <col min="62" max="62" width="48.578125" style="76" bestFit="1" customWidth="1"/>
    <col min="63" max="16384" width="8.83984375" style="76"/>
  </cols>
  <sheetData>
    <row r="1" spans="1:137" s="61" customFormat="1" ht="18" customHeight="1" x14ac:dyDescent="0.6">
      <c r="B1" s="62" t="s">
        <v>0</v>
      </c>
      <c r="C1" s="62"/>
      <c r="D1" s="63"/>
      <c r="E1" s="62"/>
      <c r="F1" s="62"/>
      <c r="G1" s="62"/>
      <c r="H1" s="62"/>
      <c r="I1" s="63"/>
      <c r="J1" s="63"/>
      <c r="K1" s="63"/>
      <c r="L1" s="63"/>
      <c r="M1" s="7"/>
      <c r="N1" s="7"/>
      <c r="O1" s="7"/>
      <c r="P1" s="64"/>
      <c r="Q1" s="65"/>
      <c r="R1" s="65"/>
      <c r="S1" s="65"/>
      <c r="T1" s="66"/>
      <c r="U1" s="66"/>
      <c r="V1" s="66"/>
      <c r="W1" s="64"/>
      <c r="X1" s="64"/>
      <c r="Y1" s="66"/>
      <c r="Z1" s="66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5"/>
      <c r="AY1" s="65"/>
      <c r="AZ1" s="65"/>
      <c r="BA1" s="65"/>
      <c r="BB1" s="67"/>
      <c r="BC1" s="67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  <c r="BR1" s="65"/>
      <c r="BS1" s="65"/>
      <c r="BT1" s="65"/>
      <c r="BU1" s="65"/>
      <c r="BV1" s="65"/>
      <c r="BW1" s="65"/>
      <c r="BX1" s="65"/>
      <c r="BY1" s="65"/>
      <c r="BZ1" s="65"/>
      <c r="CA1" s="65"/>
      <c r="CB1" s="65"/>
      <c r="CC1" s="65"/>
      <c r="CD1" s="65"/>
      <c r="CE1" s="65"/>
      <c r="CF1" s="65"/>
      <c r="CG1" s="65"/>
      <c r="CH1" s="65"/>
      <c r="CI1" s="65"/>
      <c r="CJ1" s="65"/>
      <c r="CK1" s="65"/>
      <c r="CL1" s="65"/>
      <c r="CM1" s="65"/>
      <c r="CN1" s="65"/>
      <c r="CO1" s="65"/>
      <c r="CP1" s="65"/>
      <c r="CQ1" s="65"/>
      <c r="CR1" s="65"/>
      <c r="CS1" s="65"/>
      <c r="CT1" s="65"/>
      <c r="CU1" s="65"/>
      <c r="CV1" s="65"/>
      <c r="CW1" s="65"/>
      <c r="CX1" s="65"/>
      <c r="CY1" s="65"/>
      <c r="CZ1" s="65"/>
      <c r="DA1" s="65"/>
      <c r="DB1" s="65"/>
      <c r="DC1" s="65"/>
      <c r="DD1" s="65"/>
      <c r="DE1" s="65"/>
      <c r="DF1" s="65"/>
      <c r="DG1" s="65"/>
      <c r="DH1" s="65"/>
      <c r="DI1" s="65"/>
      <c r="DJ1" s="65"/>
      <c r="DK1" s="65"/>
      <c r="DL1" s="65"/>
      <c r="DM1" s="65"/>
      <c r="DN1" s="65"/>
      <c r="DO1" s="65"/>
      <c r="DP1" s="65"/>
      <c r="DQ1" s="65"/>
      <c r="DR1" s="65"/>
      <c r="DS1" s="65"/>
      <c r="DT1" s="65"/>
      <c r="DU1" s="65"/>
      <c r="DV1" s="65"/>
      <c r="DW1" s="65"/>
      <c r="DX1" s="65"/>
      <c r="DY1" s="65"/>
      <c r="DZ1" s="65"/>
      <c r="EA1" s="65"/>
      <c r="EB1" s="65"/>
      <c r="EC1" s="65"/>
      <c r="ED1" s="65"/>
      <c r="EE1" s="65"/>
      <c r="EF1" s="65"/>
      <c r="EG1" s="65"/>
    </row>
    <row r="2" spans="1:137" s="61" customFormat="1" ht="13.75" customHeight="1" x14ac:dyDescent="0.6">
      <c r="B2" s="60" t="s">
        <v>1</v>
      </c>
      <c r="C2" s="60"/>
      <c r="D2" s="64"/>
      <c r="E2" s="60"/>
      <c r="F2" s="60"/>
      <c r="G2" s="60"/>
      <c r="H2" s="68" t="s">
        <v>2</v>
      </c>
      <c r="I2" s="69"/>
      <c r="J2" s="70" t="s">
        <v>2</v>
      </c>
      <c r="K2" s="71"/>
      <c r="L2" s="70" t="s">
        <v>2</v>
      </c>
      <c r="M2" s="70"/>
      <c r="N2" s="70"/>
      <c r="O2" s="70" t="s">
        <v>2</v>
      </c>
      <c r="P2" s="64"/>
      <c r="Q2" s="65"/>
      <c r="R2" s="65"/>
      <c r="S2" s="65"/>
      <c r="T2" s="66"/>
      <c r="U2" s="66"/>
      <c r="V2" s="66"/>
      <c r="W2" s="64"/>
      <c r="X2" s="64"/>
      <c r="Y2" s="66"/>
      <c r="Z2" s="66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5"/>
      <c r="AY2" s="65"/>
      <c r="AZ2" s="65"/>
      <c r="BA2" s="65"/>
      <c r="BB2" s="67"/>
      <c r="BC2" s="67"/>
      <c r="BD2" s="65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  <c r="BR2" s="65"/>
      <c r="BS2" s="65"/>
      <c r="BT2" s="65"/>
      <c r="BU2" s="65"/>
      <c r="BV2" s="65"/>
      <c r="BW2" s="65"/>
      <c r="BX2" s="65"/>
      <c r="BY2" s="65"/>
      <c r="BZ2" s="65"/>
      <c r="CA2" s="65"/>
      <c r="CB2" s="65"/>
      <c r="CC2" s="65"/>
      <c r="CD2" s="65"/>
      <c r="CE2" s="65"/>
      <c r="CF2" s="65"/>
      <c r="CG2" s="65"/>
      <c r="CH2" s="65"/>
      <c r="CI2" s="65"/>
      <c r="CJ2" s="65"/>
      <c r="CK2" s="65"/>
      <c r="CL2" s="65"/>
      <c r="CM2" s="65"/>
      <c r="CN2" s="65"/>
      <c r="CO2" s="65"/>
      <c r="CP2" s="65"/>
      <c r="CQ2" s="65"/>
      <c r="CR2" s="65"/>
      <c r="CS2" s="65"/>
      <c r="CT2" s="65"/>
      <c r="CU2" s="65"/>
      <c r="CV2" s="65"/>
      <c r="CW2" s="65"/>
      <c r="CX2" s="65"/>
      <c r="CY2" s="65"/>
      <c r="CZ2" s="65"/>
      <c r="DA2" s="65"/>
      <c r="DB2" s="65"/>
      <c r="DC2" s="65"/>
      <c r="DD2" s="65"/>
      <c r="DE2" s="65"/>
      <c r="DF2" s="65"/>
      <c r="DG2" s="65"/>
      <c r="DH2" s="65"/>
      <c r="DI2" s="65"/>
      <c r="DJ2" s="65"/>
      <c r="DK2" s="65"/>
      <c r="DL2" s="65"/>
      <c r="DM2" s="65"/>
      <c r="DN2" s="65"/>
      <c r="DO2" s="65"/>
      <c r="DP2" s="65"/>
      <c r="DQ2" s="65"/>
      <c r="DR2" s="65"/>
      <c r="DS2" s="65"/>
      <c r="DT2" s="65"/>
      <c r="DU2" s="65"/>
      <c r="DV2" s="65"/>
      <c r="DW2" s="65"/>
      <c r="DX2" s="65"/>
      <c r="DY2" s="65"/>
      <c r="DZ2" s="65"/>
      <c r="EA2" s="65"/>
      <c r="EB2" s="65"/>
      <c r="EC2" s="65"/>
      <c r="ED2" s="65"/>
      <c r="EE2" s="65"/>
      <c r="EF2" s="65"/>
      <c r="EG2" s="65"/>
    </row>
    <row r="3" spans="1:137" s="61" customFormat="1" ht="12.6" customHeight="1" x14ac:dyDescent="0.6">
      <c r="B3" s="60" t="s">
        <v>3</v>
      </c>
      <c r="C3" s="60"/>
      <c r="D3" s="64"/>
      <c r="E3" s="60"/>
      <c r="F3" s="60"/>
      <c r="G3" s="60"/>
      <c r="H3" s="72"/>
      <c r="I3" s="73"/>
      <c r="J3" s="64"/>
      <c r="K3" s="64"/>
      <c r="L3" s="64"/>
      <c r="M3" s="64"/>
      <c r="N3" s="64"/>
      <c r="O3" s="64"/>
      <c r="P3" s="64"/>
      <c r="Q3" s="65"/>
      <c r="R3" s="65"/>
      <c r="S3" s="65"/>
      <c r="T3" s="66"/>
      <c r="U3" s="66"/>
      <c r="V3" s="66"/>
      <c r="W3" s="64"/>
      <c r="X3" s="64"/>
      <c r="Y3" s="66"/>
      <c r="Z3" s="66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5"/>
      <c r="AY3" s="65"/>
      <c r="AZ3" s="65"/>
      <c r="BA3" s="65"/>
      <c r="BB3" s="67"/>
      <c r="BC3" s="67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</row>
    <row r="4" spans="1:137" s="61" customFormat="1" ht="16" customHeight="1" x14ac:dyDescent="0.6">
      <c r="B4" s="60" t="s">
        <v>4</v>
      </c>
      <c r="C4" s="60"/>
      <c r="D4" s="64"/>
      <c r="E4" s="60"/>
      <c r="F4" s="60"/>
      <c r="G4" s="60"/>
      <c r="H4" s="74" t="s">
        <v>2</v>
      </c>
      <c r="I4" s="75"/>
      <c r="J4" s="7" t="s">
        <v>2</v>
      </c>
      <c r="K4" s="7" t="s">
        <v>2</v>
      </c>
      <c r="L4" s="7" t="s">
        <v>2</v>
      </c>
      <c r="M4" s="7"/>
      <c r="N4" s="7"/>
      <c r="O4" s="139" t="s">
        <v>5</v>
      </c>
      <c r="P4" s="139" t="s">
        <v>6</v>
      </c>
      <c r="Q4" s="140" t="s">
        <v>7</v>
      </c>
      <c r="R4" s="140" t="s">
        <v>8</v>
      </c>
      <c r="S4" s="141" t="s">
        <v>9</v>
      </c>
      <c r="U4" s="66"/>
      <c r="V4" s="66"/>
      <c r="W4" s="64"/>
      <c r="X4" s="64"/>
      <c r="Y4" s="66"/>
      <c r="Z4" s="66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 t="s">
        <v>10</v>
      </c>
      <c r="AT4" s="64"/>
      <c r="AU4" s="64"/>
      <c r="AV4" s="64"/>
      <c r="AW4" s="64"/>
      <c r="AX4" s="65"/>
      <c r="AY4" s="65"/>
      <c r="AZ4" s="65"/>
      <c r="BA4" s="65"/>
      <c r="BB4" s="67"/>
      <c r="BC4" s="67"/>
      <c r="BD4" s="65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5"/>
      <c r="BR4" s="65"/>
      <c r="BS4" s="65"/>
      <c r="BT4" s="65"/>
      <c r="BU4" s="65"/>
      <c r="BV4" s="65"/>
      <c r="BW4" s="65"/>
      <c r="BX4" s="65"/>
      <c r="BY4" s="65"/>
      <c r="BZ4" s="65"/>
      <c r="CA4" s="65"/>
      <c r="CB4" s="65"/>
      <c r="CC4" s="65"/>
      <c r="CD4" s="65"/>
      <c r="CE4" s="65"/>
      <c r="CF4" s="65"/>
      <c r="CG4" s="65"/>
      <c r="CH4" s="65"/>
      <c r="CI4" s="65"/>
      <c r="CJ4" s="65"/>
      <c r="CK4" s="65"/>
      <c r="CL4" s="65"/>
      <c r="CM4" s="65"/>
      <c r="CN4" s="65"/>
      <c r="CO4" s="65"/>
      <c r="CP4" s="65"/>
      <c r="CQ4" s="65"/>
      <c r="CR4" s="65"/>
      <c r="CS4" s="65"/>
      <c r="CT4" s="65"/>
      <c r="CU4" s="65"/>
      <c r="CV4" s="65"/>
      <c r="CW4" s="65"/>
      <c r="CX4" s="65"/>
      <c r="CY4" s="65"/>
      <c r="CZ4" s="65"/>
      <c r="DA4" s="65"/>
      <c r="DB4" s="65"/>
      <c r="DC4" s="65"/>
      <c r="DD4" s="65"/>
      <c r="DE4" s="65"/>
      <c r="DF4" s="65"/>
      <c r="DG4" s="65"/>
      <c r="DH4" s="65"/>
      <c r="DI4" s="65"/>
      <c r="DJ4" s="65"/>
      <c r="DK4" s="65"/>
      <c r="DL4" s="65"/>
      <c r="DM4" s="65"/>
      <c r="DN4" s="65"/>
      <c r="DO4" s="65"/>
      <c r="DP4" s="65"/>
      <c r="DQ4" s="65"/>
      <c r="DR4" s="65"/>
      <c r="DS4" s="65"/>
      <c r="DT4" s="65"/>
      <c r="DU4" s="65"/>
      <c r="DV4" s="65"/>
      <c r="DW4" s="65"/>
      <c r="DX4" s="65"/>
      <c r="DY4" s="65"/>
      <c r="DZ4" s="65"/>
      <c r="EA4" s="65"/>
      <c r="EB4" s="65"/>
      <c r="EC4" s="65"/>
      <c r="ED4" s="65"/>
      <c r="EE4" s="65"/>
      <c r="EF4" s="65"/>
      <c r="EG4" s="65"/>
    </row>
    <row r="5" spans="1:137" s="152" customFormat="1" ht="30.6" customHeight="1" thickBot="1" x14ac:dyDescent="0.65">
      <c r="B5" s="153"/>
      <c r="C5" s="154"/>
      <c r="D5" s="155"/>
      <c r="E5" s="156"/>
      <c r="F5" s="156"/>
      <c r="G5" s="156"/>
      <c r="H5" s="157"/>
      <c r="I5" s="156"/>
      <c r="J5" s="156"/>
      <c r="K5" s="156"/>
      <c r="L5" s="156"/>
      <c r="M5" s="156"/>
      <c r="N5" s="156"/>
      <c r="O5" s="158" t="s">
        <v>11</v>
      </c>
      <c r="P5" s="145" t="s">
        <v>12</v>
      </c>
      <c r="Q5" s="159" t="s">
        <v>13</v>
      </c>
      <c r="R5" s="159" t="s">
        <v>14</v>
      </c>
      <c r="S5" s="186" t="s">
        <v>15</v>
      </c>
      <c r="T5" s="186"/>
      <c r="U5" s="186"/>
      <c r="V5" s="186"/>
      <c r="W5" s="186"/>
      <c r="X5" s="186"/>
      <c r="Y5" s="186"/>
      <c r="Z5" s="186"/>
      <c r="AA5" s="186"/>
      <c r="AB5" s="186"/>
      <c r="AC5" s="186"/>
      <c r="AD5" s="186"/>
      <c r="AE5" s="186"/>
      <c r="AF5" s="186"/>
      <c r="AG5" s="186"/>
      <c r="AH5" s="186"/>
      <c r="AI5" s="186"/>
      <c r="AJ5" s="186"/>
      <c r="AK5" s="186"/>
      <c r="AL5" s="186"/>
      <c r="AM5" s="186"/>
      <c r="AN5" s="186" t="s">
        <v>16</v>
      </c>
      <c r="AO5" s="186"/>
      <c r="AP5" s="186"/>
      <c r="AQ5" s="186"/>
      <c r="AR5" s="186"/>
      <c r="AS5" s="186"/>
      <c r="AT5" s="186"/>
      <c r="AU5" s="186"/>
      <c r="AV5" s="186"/>
      <c r="AW5" s="186"/>
      <c r="AX5" s="159" t="s">
        <v>17</v>
      </c>
      <c r="AY5" s="149" t="s">
        <v>18</v>
      </c>
      <c r="AZ5" s="148" t="s">
        <v>19</v>
      </c>
      <c r="BA5" s="148" t="s">
        <v>20</v>
      </c>
      <c r="BB5" s="160" t="s">
        <v>21</v>
      </c>
      <c r="BC5" s="151"/>
      <c r="BD5" s="161"/>
      <c r="BE5" s="161"/>
      <c r="BF5" s="161"/>
      <c r="BG5" s="161"/>
      <c r="BH5" s="161"/>
      <c r="BI5" s="161"/>
      <c r="BJ5" s="161"/>
      <c r="BK5" s="161"/>
      <c r="BL5" s="161"/>
      <c r="BM5" s="161"/>
      <c r="BN5" s="161"/>
      <c r="BO5" s="161"/>
      <c r="BP5" s="161"/>
    </row>
    <row r="6" spans="1:137" s="146" customFormat="1" ht="83.25" customHeight="1" thickBot="1" x14ac:dyDescent="0.6">
      <c r="B6" s="77" t="s">
        <v>22</v>
      </c>
      <c r="C6" s="78" t="s">
        <v>23</v>
      </c>
      <c r="D6" s="79" t="s">
        <v>24</v>
      </c>
      <c r="E6" s="78" t="s">
        <v>25</v>
      </c>
      <c r="F6" s="78" t="s">
        <v>26</v>
      </c>
      <c r="G6" s="78" t="s">
        <v>27</v>
      </c>
      <c r="H6" s="147" t="s">
        <v>28</v>
      </c>
      <c r="I6" s="147" t="s">
        <v>29</v>
      </c>
      <c r="J6" s="147" t="s">
        <v>30</v>
      </c>
      <c r="K6" s="147" t="s">
        <v>31</v>
      </c>
      <c r="L6" s="147" t="s">
        <v>32</v>
      </c>
      <c r="M6" s="148" t="s">
        <v>33</v>
      </c>
      <c r="N6" s="148" t="s">
        <v>34</v>
      </c>
      <c r="O6" s="149" t="s">
        <v>35</v>
      </c>
      <c r="P6" s="149" t="s">
        <v>35</v>
      </c>
      <c r="Q6" s="149" t="s">
        <v>35</v>
      </c>
      <c r="R6" s="149" t="s">
        <v>36</v>
      </c>
      <c r="S6" s="186" t="s">
        <v>37</v>
      </c>
      <c r="T6" s="186"/>
      <c r="U6" s="186"/>
      <c r="V6" s="186"/>
      <c r="W6" s="186"/>
      <c r="X6" s="186"/>
      <c r="Y6" s="186"/>
      <c r="Z6" s="186"/>
      <c r="AA6" s="186"/>
      <c r="AB6" s="186"/>
      <c r="AC6" s="150" t="s">
        <v>38</v>
      </c>
      <c r="AD6" s="149" t="s">
        <v>39</v>
      </c>
      <c r="AE6" s="187" t="s">
        <v>40</v>
      </c>
      <c r="AF6" s="187"/>
      <c r="AG6" s="181" t="s">
        <v>41</v>
      </c>
      <c r="AH6" s="181"/>
      <c r="AI6" s="182" t="s">
        <v>42</v>
      </c>
      <c r="AJ6" s="182"/>
      <c r="AK6" s="150" t="s">
        <v>43</v>
      </c>
      <c r="AL6" s="149" t="s">
        <v>44</v>
      </c>
      <c r="AM6" s="149" t="s">
        <v>45</v>
      </c>
      <c r="AN6" s="149" t="s">
        <v>46</v>
      </c>
      <c r="AO6" s="149" t="s">
        <v>537</v>
      </c>
      <c r="AP6" s="149" t="s">
        <v>535</v>
      </c>
      <c r="AQ6" s="171" t="s">
        <v>536</v>
      </c>
      <c r="AR6" s="149" t="s">
        <v>47</v>
      </c>
      <c r="AS6" s="149" t="s">
        <v>48</v>
      </c>
      <c r="AT6" s="149" t="s">
        <v>49</v>
      </c>
      <c r="AU6" s="149" t="s">
        <v>50</v>
      </c>
      <c r="AV6" s="149" t="s">
        <v>51</v>
      </c>
      <c r="AW6" s="149" t="s">
        <v>52</v>
      </c>
      <c r="AX6" s="149" t="s">
        <v>53</v>
      </c>
      <c r="AY6" s="149" t="s">
        <v>54</v>
      </c>
      <c r="AZ6" s="151"/>
      <c r="BA6" s="151"/>
      <c r="BB6" s="80"/>
      <c r="BC6" s="80"/>
      <c r="BD6" s="80" t="s">
        <v>55</v>
      </c>
      <c r="BE6" s="80" t="s">
        <v>23</v>
      </c>
      <c r="BF6" s="80" t="s">
        <v>56</v>
      </c>
      <c r="BG6" s="80"/>
      <c r="BH6" s="80"/>
      <c r="BJ6" s="80"/>
      <c r="BK6" s="80"/>
      <c r="BL6" s="80"/>
      <c r="BM6" s="80"/>
      <c r="BN6" s="80"/>
      <c r="BO6" s="80"/>
    </row>
    <row r="7" spans="1:137" s="54" customFormat="1" ht="44.5" customHeight="1" thickBot="1" x14ac:dyDescent="0.6">
      <c r="B7" s="48">
        <f>A14+A23+A35+A77+A170+A203+A249</f>
        <v>62</v>
      </c>
      <c r="C7" s="3"/>
      <c r="D7" s="3"/>
      <c r="E7" s="3"/>
      <c r="F7" s="3"/>
      <c r="G7" s="20"/>
      <c r="H7" s="31"/>
      <c r="I7" s="4"/>
      <c r="J7" s="4"/>
      <c r="K7" s="4"/>
      <c r="L7" s="4"/>
      <c r="M7" s="4"/>
      <c r="N7" s="4"/>
      <c r="O7" s="4"/>
      <c r="P7" s="4"/>
      <c r="Q7" s="4"/>
      <c r="R7" s="4"/>
      <c r="S7" s="25" t="s">
        <v>57</v>
      </c>
      <c r="T7" s="25" t="s">
        <v>58</v>
      </c>
      <c r="U7" s="26" t="s">
        <v>59</v>
      </c>
      <c r="V7" s="172" t="s">
        <v>60</v>
      </c>
      <c r="W7" s="19" t="s">
        <v>61</v>
      </c>
      <c r="X7" s="132" t="s">
        <v>62</v>
      </c>
      <c r="Y7" s="133" t="s">
        <v>63</v>
      </c>
      <c r="Z7" s="133" t="s">
        <v>64</v>
      </c>
      <c r="AA7" s="19" t="s">
        <v>61</v>
      </c>
      <c r="AB7" s="132" t="s">
        <v>65</v>
      </c>
      <c r="AC7" s="134" t="s">
        <v>66</v>
      </c>
      <c r="AD7" s="17"/>
      <c r="AE7" s="134" t="s">
        <v>67</v>
      </c>
      <c r="AF7" s="134" t="s">
        <v>68</v>
      </c>
      <c r="AG7" s="135" t="s">
        <v>69</v>
      </c>
      <c r="AH7" s="136" t="s">
        <v>70</v>
      </c>
      <c r="AI7" s="137" t="s">
        <v>71</v>
      </c>
      <c r="AJ7" s="136" t="s">
        <v>72</v>
      </c>
      <c r="AK7" s="138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31"/>
      <c r="BC7" s="31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</row>
    <row r="8" spans="1:137" s="81" customFormat="1" ht="14.85" customHeight="1" x14ac:dyDescent="0.6">
      <c r="B8" s="82" t="s">
        <v>73</v>
      </c>
      <c r="C8" s="82"/>
      <c r="D8" s="8"/>
      <c r="E8" s="8"/>
      <c r="F8" s="8"/>
      <c r="G8" s="30"/>
      <c r="H8" s="32"/>
      <c r="I8" s="9"/>
      <c r="J8" s="9"/>
      <c r="K8" s="9"/>
      <c r="L8" s="9"/>
      <c r="M8" s="9"/>
      <c r="N8" s="9"/>
      <c r="O8" s="10"/>
      <c r="P8" s="8"/>
      <c r="Q8" s="10"/>
      <c r="R8" s="8"/>
      <c r="S8" s="8"/>
      <c r="T8" s="24"/>
      <c r="U8" s="24"/>
      <c r="V8" s="24"/>
      <c r="W8" s="11"/>
      <c r="X8" s="11"/>
      <c r="Y8" s="24"/>
      <c r="Z8" s="24"/>
      <c r="AA8" s="11"/>
      <c r="AB8" s="11"/>
      <c r="AC8" s="11"/>
      <c r="AD8" s="11"/>
      <c r="AE8" s="11"/>
      <c r="AF8" s="11"/>
      <c r="AG8" s="11"/>
      <c r="AH8" s="11"/>
      <c r="AI8" s="8"/>
      <c r="AJ8" s="11"/>
      <c r="AK8" s="11"/>
      <c r="AL8" s="8"/>
      <c r="AM8" s="8"/>
      <c r="AN8" s="8"/>
      <c r="AO8" s="8"/>
      <c r="AP8" s="8"/>
      <c r="AQ8" s="8"/>
      <c r="AR8" s="10"/>
      <c r="AS8" s="10"/>
      <c r="AT8" s="10"/>
      <c r="AU8" s="10"/>
      <c r="AV8" s="10"/>
      <c r="AW8" s="10"/>
      <c r="AX8" s="8"/>
      <c r="AY8" s="11"/>
      <c r="AZ8" s="11"/>
      <c r="BA8" s="11"/>
      <c r="BB8" s="34"/>
      <c r="BC8" s="34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</row>
    <row r="9" spans="1:137" ht="14.85" customHeight="1" x14ac:dyDescent="0.6">
      <c r="B9" s="55" t="s">
        <v>74</v>
      </c>
      <c r="C9" s="55"/>
      <c r="D9" s="7"/>
      <c r="E9" s="55"/>
      <c r="F9" s="55"/>
      <c r="G9" s="55"/>
      <c r="H9" s="2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</row>
    <row r="10" spans="1:137" ht="15.6" hidden="1" customHeight="1" x14ac:dyDescent="0.6">
      <c r="A10" s="76">
        <v>9</v>
      </c>
      <c r="B10" s="83">
        <v>143071.00700000001</v>
      </c>
      <c r="C10" s="83" t="s">
        <v>75</v>
      </c>
      <c r="D10" s="1" t="s">
        <v>76</v>
      </c>
      <c r="E10" s="1"/>
      <c r="F10" s="16" t="s">
        <v>77</v>
      </c>
      <c r="G10" s="84" t="s">
        <v>78</v>
      </c>
      <c r="H10" s="29" t="s">
        <v>79</v>
      </c>
      <c r="I10" s="7" t="s">
        <v>80</v>
      </c>
      <c r="J10" s="64" t="s">
        <v>81</v>
      </c>
      <c r="K10" s="7" t="s">
        <v>81</v>
      </c>
      <c r="L10" s="1"/>
      <c r="M10" s="15">
        <v>0.98</v>
      </c>
      <c r="N10" s="15"/>
      <c r="O10" s="16"/>
      <c r="P10" s="16"/>
      <c r="Q10" s="16"/>
      <c r="R10" s="16"/>
      <c r="S10" s="16"/>
      <c r="T10" s="16"/>
      <c r="U10" s="16"/>
      <c r="V10" s="16"/>
      <c r="W10" s="46"/>
      <c r="X10" s="16"/>
      <c r="Y10" s="16"/>
      <c r="Z10" s="16"/>
      <c r="AA10" s="16"/>
      <c r="AB10" s="16"/>
      <c r="AC10" s="16"/>
      <c r="AD10" s="16"/>
      <c r="AE10" s="16"/>
      <c r="AF10" s="16"/>
      <c r="AG10" s="4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85"/>
      <c r="AZ10" s="46"/>
      <c r="BA10" s="85"/>
      <c r="BB10" s="33"/>
      <c r="BC10" s="33"/>
      <c r="BD10" s="86" t="str">
        <f t="shared" ref="BD10:BD11" si="0">IF(AZ10&gt;60%,"YES","No")</f>
        <v>No</v>
      </c>
      <c r="BE10" s="76" t="str">
        <f>C10</f>
        <v>MCA Science Wing and Storm Shelter - ON HOLD</v>
      </c>
      <c r="BF10" s="87" t="str">
        <f>H10</f>
        <v>Tori/ Tony</v>
      </c>
      <c r="BG10" s="76" t="str">
        <f t="shared" ref="BG10:BG22" si="1">IF(AZ10&gt;65%,"No need to contact","need to contact")</f>
        <v>need to contact</v>
      </c>
    </row>
    <row r="11" spans="1:137" ht="15" hidden="1" customHeight="1" x14ac:dyDescent="0.6">
      <c r="B11" s="60" t="s">
        <v>82</v>
      </c>
      <c r="C11" s="83" t="s">
        <v>83</v>
      </c>
      <c r="D11" s="2"/>
      <c r="E11" s="2"/>
      <c r="F11" s="16" t="s">
        <v>77</v>
      </c>
      <c r="G11" s="2"/>
      <c r="H11" s="51"/>
      <c r="I11" s="2"/>
      <c r="J11" s="2"/>
      <c r="K11" s="2"/>
      <c r="L11" s="2"/>
      <c r="M11" s="2"/>
      <c r="N11" s="2"/>
      <c r="O11" s="16"/>
      <c r="P11" s="16"/>
      <c r="Q11" s="16"/>
      <c r="R11" s="16"/>
      <c r="S11" s="16"/>
      <c r="T11" s="16"/>
      <c r="U11" s="16"/>
      <c r="V11" s="16"/>
      <c r="W11" s="46"/>
      <c r="X11" s="16"/>
      <c r="Y11" s="16"/>
      <c r="Z11" s="16"/>
      <c r="AA11" s="16"/>
      <c r="AB11" s="16"/>
      <c r="AC11" s="16"/>
      <c r="AD11" s="16"/>
      <c r="AE11" s="16"/>
      <c r="AF11" s="16"/>
      <c r="AG11" s="4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85"/>
      <c r="AZ11" s="46"/>
      <c r="BA11" s="85"/>
      <c r="BB11" s="33"/>
      <c r="BC11" s="33"/>
      <c r="BD11" s="86" t="str">
        <f t="shared" si="0"/>
        <v>No</v>
      </c>
      <c r="BE11" s="76" t="str">
        <f>C11</f>
        <v>NISD  - Finish replacement</v>
      </c>
      <c r="BF11" s="87">
        <f>H11</f>
        <v>0</v>
      </c>
      <c r="BG11" s="76" t="str">
        <f t="shared" si="1"/>
        <v>need to contact</v>
      </c>
    </row>
    <row r="12" spans="1:137" ht="15.75" customHeight="1" x14ac:dyDescent="0.6">
      <c r="A12" s="76">
        <v>1</v>
      </c>
      <c r="B12" s="88">
        <v>143163</v>
      </c>
      <c r="C12" s="88" t="s">
        <v>84</v>
      </c>
      <c r="D12" s="1" t="s">
        <v>85</v>
      </c>
      <c r="E12" s="1"/>
      <c r="F12" s="16" t="s">
        <v>208</v>
      </c>
      <c r="G12" s="72" t="s">
        <v>86</v>
      </c>
      <c r="H12" s="33" t="s">
        <v>102</v>
      </c>
      <c r="I12" s="18" t="s">
        <v>87</v>
      </c>
      <c r="J12" s="18" t="s">
        <v>87</v>
      </c>
      <c r="K12" s="18" t="s">
        <v>87</v>
      </c>
      <c r="L12" s="18" t="s">
        <v>87</v>
      </c>
      <c r="M12" s="18" t="s">
        <v>87</v>
      </c>
      <c r="N12" s="44">
        <v>0.72</v>
      </c>
      <c r="O12" s="16">
        <v>4</v>
      </c>
      <c r="P12" s="16">
        <v>3</v>
      </c>
      <c r="Q12" s="16">
        <v>3</v>
      </c>
      <c r="R12" s="16">
        <v>4</v>
      </c>
      <c r="S12" s="16" t="s">
        <v>76</v>
      </c>
      <c r="T12" s="16">
        <v>43</v>
      </c>
      <c r="U12" s="16">
        <v>24.08</v>
      </c>
      <c r="V12" s="16" t="s">
        <v>88</v>
      </c>
      <c r="W12" s="46">
        <f>(T12-U12)/T12</f>
        <v>0.44000000000000006</v>
      </c>
      <c r="X12" s="28" t="s">
        <v>76</v>
      </c>
      <c r="Y12" s="16" t="s">
        <v>88</v>
      </c>
      <c r="Z12" s="16" t="s">
        <v>88</v>
      </c>
      <c r="AA12" s="16" t="s">
        <v>88</v>
      </c>
      <c r="AB12" s="16" t="s">
        <v>88</v>
      </c>
      <c r="AC12" s="16">
        <v>18</v>
      </c>
      <c r="AD12" s="16">
        <v>0</v>
      </c>
      <c r="AE12" s="16" t="s">
        <v>542</v>
      </c>
      <c r="AF12" s="16">
        <v>1</v>
      </c>
      <c r="AG12" s="49" t="s">
        <v>76</v>
      </c>
      <c r="AH12" s="46" t="s">
        <v>76</v>
      </c>
      <c r="AI12" s="46" t="s">
        <v>76</v>
      </c>
      <c r="AJ12" s="46" t="s">
        <v>76</v>
      </c>
      <c r="AK12" s="16">
        <v>0</v>
      </c>
      <c r="AL12" s="16">
        <v>0</v>
      </c>
      <c r="AM12" s="16">
        <v>0</v>
      </c>
      <c r="AN12" s="16">
        <v>1</v>
      </c>
      <c r="AO12" s="16" t="s">
        <v>85</v>
      </c>
      <c r="AP12" s="16">
        <v>3</v>
      </c>
      <c r="AQ12" s="16">
        <v>0</v>
      </c>
      <c r="AR12" s="16">
        <v>2</v>
      </c>
      <c r="AS12" s="16">
        <v>2</v>
      </c>
      <c r="AT12" s="16">
        <v>0</v>
      </c>
      <c r="AU12" s="16">
        <v>0</v>
      </c>
      <c r="AV12" s="16">
        <v>1</v>
      </c>
      <c r="AW12" s="16">
        <v>1</v>
      </c>
      <c r="AX12" s="16">
        <v>1</v>
      </c>
      <c r="AY12" s="85">
        <f>O12+P12+Q12+R12+AC12+AD12+AF12+AK12+AL12+AM12+AN12+AP12+AR12+AS12+AT12+AU12+AV12+AW12+AX12</f>
        <v>44</v>
      </c>
      <c r="AZ12" s="46">
        <f t="shared" ref="AZ12:AZ22" si="2">AY12/67</f>
        <v>0.65671641791044777</v>
      </c>
      <c r="BA12" s="85" t="s">
        <v>89</v>
      </c>
      <c r="BB12" s="33"/>
      <c r="BC12" s="33"/>
      <c r="BD12" s="86" t="str">
        <f>IF(N12&gt;60%,"YES","No")</f>
        <v>YES</v>
      </c>
      <c r="BE12" s="76" t="str">
        <f>C12</f>
        <v>Eaton HS (Last year reporting)</v>
      </c>
      <c r="BF12" s="87" t="str">
        <f>H12</f>
        <v>Barbara Rystrom</v>
      </c>
      <c r="BG12" s="87" t="str">
        <f t="shared" si="1"/>
        <v>No need to contact</v>
      </c>
    </row>
    <row r="13" spans="1:137" ht="15.6" customHeight="1" x14ac:dyDescent="0.6">
      <c r="A13" s="76">
        <v>2</v>
      </c>
      <c r="B13" s="89">
        <v>143155</v>
      </c>
      <c r="C13" s="90" t="s">
        <v>90</v>
      </c>
      <c r="D13" s="1" t="s">
        <v>85</v>
      </c>
      <c r="F13" s="16" t="s">
        <v>93</v>
      </c>
      <c r="H13" s="33" t="s">
        <v>102</v>
      </c>
      <c r="N13" s="44">
        <v>0.76</v>
      </c>
      <c r="O13" s="16">
        <v>4</v>
      </c>
      <c r="P13" s="16">
        <v>0</v>
      </c>
      <c r="Q13" s="16">
        <v>0</v>
      </c>
      <c r="R13" s="16">
        <v>0</v>
      </c>
      <c r="S13" s="1" t="s">
        <v>85</v>
      </c>
      <c r="T13" s="16">
        <v>56</v>
      </c>
      <c r="U13" s="16">
        <v>53.63</v>
      </c>
      <c r="V13" s="16">
        <v>2</v>
      </c>
      <c r="W13" s="47">
        <f>(T13-U13)/T13</f>
        <v>4.2321428571428524E-2</v>
      </c>
      <c r="X13" s="28" t="s">
        <v>76</v>
      </c>
      <c r="Y13" s="16" t="s">
        <v>88</v>
      </c>
      <c r="Z13" s="16" t="s">
        <v>88</v>
      </c>
      <c r="AA13" s="16" t="s">
        <v>88</v>
      </c>
      <c r="AB13" s="16" t="s">
        <v>88</v>
      </c>
      <c r="AC13" s="16">
        <v>14</v>
      </c>
      <c r="AD13" s="16">
        <v>3</v>
      </c>
      <c r="AE13" s="16" t="s">
        <v>542</v>
      </c>
      <c r="AG13" s="49">
        <v>0.31</v>
      </c>
      <c r="AH13" s="46" t="s">
        <v>76</v>
      </c>
      <c r="AI13" s="46" t="s">
        <v>76</v>
      </c>
      <c r="AJ13" s="46" t="s">
        <v>76</v>
      </c>
      <c r="AK13" s="16">
        <v>8</v>
      </c>
      <c r="AL13" s="16">
        <v>2</v>
      </c>
      <c r="AM13" s="16">
        <v>2</v>
      </c>
      <c r="AN13" s="16">
        <v>1</v>
      </c>
      <c r="AO13" s="16" t="s">
        <v>85</v>
      </c>
      <c r="AP13" s="16">
        <v>3</v>
      </c>
      <c r="AQ13" s="16">
        <v>1</v>
      </c>
      <c r="AR13" s="16">
        <v>2</v>
      </c>
      <c r="AS13" s="16">
        <v>1</v>
      </c>
      <c r="AT13" s="16">
        <v>1</v>
      </c>
      <c r="AU13" s="16">
        <v>1</v>
      </c>
      <c r="AV13" s="16">
        <v>1</v>
      </c>
      <c r="AW13" s="16">
        <v>1</v>
      </c>
      <c r="AX13" s="16">
        <v>1</v>
      </c>
      <c r="BD13" s="86" t="str">
        <f>IF(N13&gt;60%,"YES","No")</f>
        <v>YES</v>
      </c>
    </row>
    <row r="14" spans="1:137" ht="15.6" customHeight="1" x14ac:dyDescent="0.6">
      <c r="A14" s="76">
        <v>3</v>
      </c>
      <c r="B14" s="89">
        <v>143166</v>
      </c>
      <c r="C14" s="88" t="s">
        <v>92</v>
      </c>
      <c r="D14" s="1" t="s">
        <v>85</v>
      </c>
      <c r="E14" s="1"/>
      <c r="F14" s="16" t="s">
        <v>93</v>
      </c>
      <c r="G14" s="84"/>
      <c r="H14" s="33" t="s">
        <v>94</v>
      </c>
      <c r="I14" s="7"/>
      <c r="J14" s="64"/>
      <c r="K14" s="7"/>
      <c r="L14" s="1"/>
      <c r="M14" s="15"/>
      <c r="N14" s="53">
        <v>0</v>
      </c>
      <c r="O14" s="16"/>
      <c r="P14" s="16"/>
      <c r="Q14" s="16"/>
      <c r="R14" s="16"/>
      <c r="S14" s="16"/>
      <c r="T14" s="16"/>
      <c r="U14" s="16"/>
      <c r="V14" s="16"/>
      <c r="W14" s="46"/>
      <c r="X14" s="16"/>
      <c r="Y14" s="16"/>
      <c r="Z14" s="16"/>
      <c r="AA14" s="16"/>
      <c r="AB14" s="16"/>
      <c r="AC14" s="16"/>
      <c r="AD14" s="16"/>
      <c r="AE14" s="16" t="s">
        <v>114</v>
      </c>
      <c r="AF14" s="16"/>
      <c r="AG14" s="4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85"/>
      <c r="AZ14" s="46"/>
      <c r="BA14" s="85"/>
      <c r="BB14" s="33"/>
      <c r="BC14" s="33"/>
      <c r="BD14" s="86" t="str">
        <f>IF(N14&gt;60%,"YES","No")</f>
        <v>No</v>
      </c>
      <c r="BF14" s="87" t="str">
        <f>H14</f>
        <v>Barbara Rystrom/ Jose Gutierrez</v>
      </c>
      <c r="BG14" s="87"/>
    </row>
    <row r="15" spans="1:137" ht="15.6" hidden="1" customHeight="1" x14ac:dyDescent="0.6">
      <c r="C15" s="60"/>
      <c r="D15" s="1"/>
      <c r="E15" s="1"/>
      <c r="F15" s="16"/>
      <c r="G15" s="84"/>
      <c r="H15" s="33"/>
      <c r="I15" s="7"/>
      <c r="J15" s="64"/>
      <c r="K15" s="7"/>
      <c r="L15" s="1"/>
      <c r="M15" s="15"/>
      <c r="N15" s="44"/>
      <c r="O15" s="16"/>
      <c r="P15" s="16"/>
      <c r="Q15" s="16"/>
      <c r="R15" s="16"/>
      <c r="S15" s="16"/>
      <c r="T15" s="16"/>
      <c r="U15" s="16"/>
      <c r="V15" s="16"/>
      <c r="W15" s="46"/>
      <c r="X15" s="16"/>
      <c r="Y15" s="16"/>
      <c r="Z15" s="16"/>
      <c r="AA15" s="16"/>
      <c r="AB15" s="16"/>
      <c r="AC15" s="16"/>
      <c r="AD15" s="16"/>
      <c r="AE15" s="16"/>
      <c r="AF15" s="16"/>
      <c r="AG15" s="4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85"/>
      <c r="AZ15" s="46"/>
      <c r="BA15" s="85"/>
      <c r="BB15" s="33"/>
      <c r="BC15" s="33"/>
      <c r="BD15" s="86"/>
      <c r="BF15" s="87"/>
      <c r="BG15" s="87"/>
    </row>
    <row r="16" spans="1:137" ht="15.6" hidden="1" customHeight="1" x14ac:dyDescent="0.6">
      <c r="B16" s="84">
        <v>143164</v>
      </c>
      <c r="C16" s="84" t="s">
        <v>95</v>
      </c>
      <c r="D16" s="28" t="s">
        <v>76</v>
      </c>
      <c r="E16" s="72"/>
      <c r="F16" s="71" t="s">
        <v>96</v>
      </c>
      <c r="G16" s="84"/>
      <c r="H16" s="72" t="s">
        <v>97</v>
      </c>
      <c r="I16" s="7"/>
      <c r="J16" s="64"/>
      <c r="K16" s="7"/>
      <c r="L16" s="1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46"/>
      <c r="X16" s="16"/>
      <c r="Y16" s="16"/>
      <c r="Z16" s="16"/>
      <c r="AA16" s="16"/>
      <c r="AB16" s="16"/>
      <c r="AC16" s="16"/>
      <c r="AD16" s="16"/>
      <c r="AE16" s="16"/>
      <c r="AF16" s="16"/>
      <c r="AG16" s="4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85"/>
      <c r="AZ16" s="46"/>
      <c r="BA16" s="85"/>
      <c r="BB16" s="33"/>
      <c r="BC16" s="33"/>
      <c r="BD16" s="86" t="str">
        <f>IF(N16&gt;60%,"YES","No")</f>
        <v>No</v>
      </c>
      <c r="BF16" s="87"/>
      <c r="BG16" s="87"/>
    </row>
    <row r="17" spans="1:137" ht="15.6" hidden="1" customHeight="1" x14ac:dyDescent="0.6">
      <c r="B17" s="84">
        <v>143165</v>
      </c>
      <c r="C17" s="84" t="s">
        <v>98</v>
      </c>
      <c r="D17" s="28" t="s">
        <v>76</v>
      </c>
      <c r="E17" s="72"/>
      <c r="F17" s="71" t="s">
        <v>96</v>
      </c>
      <c r="G17" s="84"/>
      <c r="H17" s="72" t="s">
        <v>97</v>
      </c>
      <c r="I17" s="7"/>
      <c r="J17" s="64"/>
      <c r="K17" s="7"/>
      <c r="L17" s="1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46"/>
      <c r="X17" s="16"/>
      <c r="Y17" s="16"/>
      <c r="Z17" s="16"/>
      <c r="AA17" s="16"/>
      <c r="AB17" s="16"/>
      <c r="AC17" s="16"/>
      <c r="AD17" s="16"/>
      <c r="AE17" s="16"/>
      <c r="AF17" s="16"/>
      <c r="AG17" s="4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85"/>
      <c r="AZ17" s="46"/>
      <c r="BA17" s="85"/>
      <c r="BB17" s="33"/>
      <c r="BC17" s="33"/>
      <c r="BD17" s="86" t="str">
        <f>IF(N17&gt;60%,"YES","No")</f>
        <v>No</v>
      </c>
      <c r="BF17" s="87"/>
      <c r="BG17" s="87"/>
    </row>
    <row r="18" spans="1:137" ht="16.5" hidden="1" customHeight="1" x14ac:dyDescent="0.6">
      <c r="B18" s="60">
        <v>143154</v>
      </c>
      <c r="C18" s="60" t="s">
        <v>99</v>
      </c>
      <c r="D18" s="28" t="s">
        <v>76</v>
      </c>
      <c r="E18" s="1"/>
      <c r="F18" s="16" t="s">
        <v>100</v>
      </c>
      <c r="G18" s="84" t="s">
        <v>101</v>
      </c>
      <c r="H18" s="29" t="s">
        <v>102</v>
      </c>
      <c r="I18" s="7" t="s">
        <v>103</v>
      </c>
      <c r="J18" s="64"/>
      <c r="K18" s="7"/>
      <c r="L18" s="1"/>
      <c r="M18" s="15">
        <v>1</v>
      </c>
      <c r="N18" s="15"/>
      <c r="O18" s="16"/>
      <c r="P18" s="16"/>
      <c r="Q18" s="16"/>
      <c r="R18" s="16"/>
      <c r="S18" s="16"/>
      <c r="T18" s="16"/>
      <c r="U18" s="16"/>
      <c r="V18" s="16"/>
      <c r="W18" s="46"/>
      <c r="X18" s="16"/>
      <c r="Y18" s="16"/>
      <c r="Z18" s="16"/>
      <c r="AA18" s="16"/>
      <c r="AB18" s="16"/>
      <c r="AC18" s="16"/>
      <c r="AD18" s="16"/>
      <c r="AE18" s="16"/>
      <c r="AF18" s="16"/>
      <c r="AG18" s="4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85"/>
      <c r="AZ18" s="46"/>
      <c r="BA18" s="85"/>
      <c r="BB18" s="33" t="s">
        <v>104</v>
      </c>
      <c r="BC18" s="33"/>
      <c r="BD18" s="86" t="str">
        <f>IF(N18&gt;60%,"YES","No")</f>
        <v>No</v>
      </c>
      <c r="BE18" s="76" t="str">
        <f>C18</f>
        <v>Add Service - Forrest Oak MS A/R - Portables</v>
      </c>
      <c r="BF18" s="87" t="str">
        <f>H18</f>
        <v>Barbara Rystrom</v>
      </c>
      <c r="BG18" s="87" t="str">
        <f>IF(AZ18&gt;65%,"No need to contact","need to contact")</f>
        <v>need to contact</v>
      </c>
    </row>
    <row r="19" spans="1:137" ht="16.5" customHeight="1" x14ac:dyDescent="0.6">
      <c r="B19" s="60"/>
      <c r="C19" s="60"/>
      <c r="D19" s="28"/>
      <c r="E19" s="1"/>
      <c r="F19" s="16"/>
      <c r="G19" s="84"/>
      <c r="H19" s="29"/>
      <c r="I19" s="7"/>
      <c r="J19" s="64"/>
      <c r="K19" s="7"/>
      <c r="L19" s="1"/>
      <c r="M19" s="15"/>
      <c r="N19" s="15"/>
      <c r="O19" s="16"/>
      <c r="P19" s="16"/>
      <c r="Q19" s="16"/>
      <c r="R19" s="16"/>
      <c r="S19" s="16"/>
      <c r="T19" s="16"/>
      <c r="U19" s="16"/>
      <c r="V19" s="16"/>
      <c r="W19" s="46"/>
      <c r="X19" s="16"/>
      <c r="Y19" s="16"/>
      <c r="Z19" s="16"/>
      <c r="AA19" s="16"/>
      <c r="AB19" s="16"/>
      <c r="AC19" s="16"/>
      <c r="AD19" s="16"/>
      <c r="AE19" s="16"/>
      <c r="AF19" s="16"/>
      <c r="AG19" s="4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85"/>
      <c r="AZ19" s="46"/>
      <c r="BA19" s="85"/>
      <c r="BB19" s="33"/>
      <c r="BC19" s="33"/>
      <c r="BD19" s="86"/>
      <c r="BF19" s="87"/>
      <c r="BG19" s="87"/>
    </row>
    <row r="20" spans="1:137" ht="15.6" customHeight="1" x14ac:dyDescent="0.6">
      <c r="B20" s="56" t="s">
        <v>105</v>
      </c>
      <c r="C20" s="56"/>
      <c r="D20" s="57"/>
      <c r="E20" s="56"/>
      <c r="F20" s="56"/>
      <c r="G20" s="56"/>
      <c r="H20" s="58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86"/>
      <c r="BE20" s="76">
        <f>C20</f>
        <v>0</v>
      </c>
    </row>
    <row r="21" spans="1:137" ht="15.6" customHeight="1" x14ac:dyDescent="0.6">
      <c r="A21" s="76">
        <v>1</v>
      </c>
      <c r="B21" s="92">
        <v>144086</v>
      </c>
      <c r="C21" s="92" t="s">
        <v>106</v>
      </c>
      <c r="D21" s="1" t="s">
        <v>85</v>
      </c>
      <c r="E21" s="1"/>
      <c r="F21" s="16" t="s">
        <v>80</v>
      </c>
      <c r="G21" s="84" t="s">
        <v>107</v>
      </c>
      <c r="H21" s="29" t="s">
        <v>108</v>
      </c>
      <c r="I21" s="7" t="s">
        <v>103</v>
      </c>
      <c r="J21" s="93"/>
      <c r="K21" s="94"/>
      <c r="L21" s="94"/>
      <c r="M21" s="36">
        <v>1</v>
      </c>
      <c r="N21" s="44">
        <v>0.94</v>
      </c>
      <c r="O21" s="16">
        <v>4</v>
      </c>
      <c r="P21" s="16">
        <v>0</v>
      </c>
      <c r="Q21" s="16">
        <v>1</v>
      </c>
      <c r="R21" s="16">
        <v>3</v>
      </c>
      <c r="S21" s="1" t="s">
        <v>85</v>
      </c>
      <c r="T21" s="16">
        <v>169.25</v>
      </c>
      <c r="U21" s="16">
        <v>122</v>
      </c>
      <c r="V21" s="16">
        <v>2</v>
      </c>
      <c r="W21" s="46">
        <f>(T21-U21)/T21</f>
        <v>0.27917282127031018</v>
      </c>
      <c r="X21" s="28" t="s">
        <v>76</v>
      </c>
      <c r="Y21" s="16" t="s">
        <v>88</v>
      </c>
      <c r="Z21" s="16" t="s">
        <v>88</v>
      </c>
      <c r="AA21" s="16" t="s">
        <v>88</v>
      </c>
      <c r="AB21" s="16" t="s">
        <v>88</v>
      </c>
      <c r="AC21" s="16">
        <v>22</v>
      </c>
      <c r="AD21" s="16">
        <v>3</v>
      </c>
      <c r="AE21" s="16" t="s">
        <v>541</v>
      </c>
      <c r="AF21" s="1" t="s">
        <v>85</v>
      </c>
      <c r="AG21" s="46">
        <v>0.4</v>
      </c>
      <c r="AH21" s="1" t="s">
        <v>85</v>
      </c>
      <c r="AI21" s="47">
        <v>0.34</v>
      </c>
      <c r="AJ21" s="1" t="s">
        <v>85</v>
      </c>
      <c r="AK21" s="16">
        <v>10</v>
      </c>
      <c r="AL21" s="16">
        <v>2</v>
      </c>
      <c r="AM21" s="16">
        <v>1</v>
      </c>
      <c r="AN21" s="16">
        <v>1</v>
      </c>
      <c r="AO21" s="16" t="s">
        <v>85</v>
      </c>
      <c r="AP21" s="16">
        <v>3</v>
      </c>
      <c r="AQ21" s="16">
        <v>1</v>
      </c>
      <c r="AR21" s="16">
        <v>2</v>
      </c>
      <c r="AS21" s="16">
        <v>1</v>
      </c>
      <c r="AT21" s="16">
        <v>0</v>
      </c>
      <c r="AU21" s="16">
        <v>0</v>
      </c>
      <c r="AV21" s="16">
        <v>1</v>
      </c>
      <c r="AW21" s="16">
        <v>0</v>
      </c>
      <c r="AX21" s="16">
        <v>0</v>
      </c>
      <c r="AY21" s="85" t="e">
        <f>O21+P21+Q21+R21+AC21+AD21+AF21+AK21+AL21+AM21+AN21+AP21+AR21+AS21+AT21+AU21+AV21+AW21+AX21</f>
        <v>#VALUE!</v>
      </c>
      <c r="AZ21" s="46" t="e">
        <f t="shared" si="2"/>
        <v>#VALUE!</v>
      </c>
      <c r="BA21" s="85" t="s">
        <v>89</v>
      </c>
      <c r="BB21" s="33"/>
      <c r="BC21" s="33"/>
      <c r="BD21" s="86" t="str">
        <f>IF(N21&gt;60%,"YES","No")</f>
        <v>YES</v>
      </c>
      <c r="BE21" s="76" t="str">
        <f>C21</f>
        <v>UTD Jindal School of Management III - Last year of reporting</v>
      </c>
      <c r="BF21" s="87" t="str">
        <f>H21</f>
        <v>Ryan / David</v>
      </c>
      <c r="BG21" s="87" t="e">
        <f t="shared" si="1"/>
        <v>#VALUE!</v>
      </c>
    </row>
    <row r="22" spans="1:137" ht="15.6" customHeight="1" x14ac:dyDescent="0.6">
      <c r="A22" s="76">
        <v>2</v>
      </c>
      <c r="B22" s="89">
        <v>144082</v>
      </c>
      <c r="C22" s="90" t="s">
        <v>109</v>
      </c>
      <c r="D22" s="1" t="s">
        <v>85</v>
      </c>
      <c r="E22" s="1"/>
      <c r="F22" s="16" t="s">
        <v>80</v>
      </c>
      <c r="G22" s="72" t="s">
        <v>110</v>
      </c>
      <c r="H22" s="29" t="s">
        <v>111</v>
      </c>
      <c r="I22" s="7" t="s">
        <v>103</v>
      </c>
      <c r="J22" s="64"/>
      <c r="K22" s="7" t="s">
        <v>112</v>
      </c>
      <c r="L22" s="94"/>
      <c r="M22" s="36">
        <v>1</v>
      </c>
      <c r="N22" s="44">
        <v>0.96</v>
      </c>
      <c r="O22" s="16">
        <v>1</v>
      </c>
      <c r="P22" s="16">
        <v>0</v>
      </c>
      <c r="Q22" s="16">
        <v>0</v>
      </c>
      <c r="R22" s="16">
        <v>0</v>
      </c>
      <c r="S22" s="1" t="s">
        <v>85</v>
      </c>
      <c r="T22" s="16">
        <v>109</v>
      </c>
      <c r="U22" s="16">
        <v>44</v>
      </c>
      <c r="V22" s="16">
        <v>1</v>
      </c>
      <c r="W22" s="46">
        <f t="shared" ref="W22:W23" si="3">(T22-U22)/T22</f>
        <v>0.59633027522935778</v>
      </c>
      <c r="X22" s="28" t="s">
        <v>76</v>
      </c>
      <c r="Y22" s="16" t="s">
        <v>88</v>
      </c>
      <c r="Z22" s="16" t="s">
        <v>88</v>
      </c>
      <c r="AA22" s="16" t="s">
        <v>88</v>
      </c>
      <c r="AB22" s="16" t="s">
        <v>88</v>
      </c>
      <c r="AC22" s="16">
        <v>22</v>
      </c>
      <c r="AD22" s="16">
        <v>3</v>
      </c>
      <c r="AE22" s="16" t="s">
        <v>541</v>
      </c>
      <c r="AF22" s="1" t="s">
        <v>85</v>
      </c>
      <c r="AG22" s="46">
        <v>0.37</v>
      </c>
      <c r="AH22" s="16" t="s">
        <v>113</v>
      </c>
      <c r="AI22" s="47">
        <v>0.74</v>
      </c>
      <c r="AJ22" s="16" t="s">
        <v>85</v>
      </c>
      <c r="AK22" s="16">
        <v>7</v>
      </c>
      <c r="AL22" s="16">
        <v>4</v>
      </c>
      <c r="AM22" s="16">
        <v>1</v>
      </c>
      <c r="AN22" s="16">
        <v>0</v>
      </c>
      <c r="AO22" s="16" t="s">
        <v>85</v>
      </c>
      <c r="AP22" s="16">
        <v>3</v>
      </c>
      <c r="AQ22" s="16">
        <v>1</v>
      </c>
      <c r="AR22" s="16">
        <v>2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85" t="e">
        <f>O22+P22+Q22+R22+AC22+AD22+AF22+AK22+AL22+AM22+AN22+AP22+AR22+AS22+AT22+AU22+AV22+AW22+AX22</f>
        <v>#VALUE!</v>
      </c>
      <c r="AZ22" s="46" t="e">
        <f t="shared" si="2"/>
        <v>#VALUE!</v>
      </c>
      <c r="BA22" s="85" t="s">
        <v>89</v>
      </c>
      <c r="BB22" s="72" t="s">
        <v>115</v>
      </c>
      <c r="BC22" s="72"/>
      <c r="BD22" s="86" t="str">
        <f>IF(N22&gt;60%,"YES","No")</f>
        <v>YES</v>
      </c>
      <c r="BE22" s="76" t="str">
        <f>C22</f>
        <v>UT Austin Business School - Last year of reporting</v>
      </c>
      <c r="BF22" s="87" t="str">
        <f>H22</f>
        <v>Brad / Brian</v>
      </c>
      <c r="BG22" s="87" t="e">
        <f t="shared" si="1"/>
        <v>#VALUE!</v>
      </c>
    </row>
    <row r="23" spans="1:137" ht="15.6" customHeight="1" x14ac:dyDescent="0.6">
      <c r="A23" s="76">
        <v>3</v>
      </c>
      <c r="B23" s="88">
        <v>144089</v>
      </c>
      <c r="C23" s="88" t="s">
        <v>116</v>
      </c>
      <c r="D23" s="1" t="s">
        <v>85</v>
      </c>
      <c r="E23" s="1"/>
      <c r="F23" s="16" t="s">
        <v>91</v>
      </c>
      <c r="G23" s="84"/>
      <c r="H23" s="29" t="s">
        <v>118</v>
      </c>
      <c r="I23" s="7"/>
      <c r="J23" s="64"/>
      <c r="K23" s="7"/>
      <c r="L23" s="1"/>
      <c r="M23" s="15"/>
      <c r="N23" s="44">
        <v>0.7</v>
      </c>
      <c r="O23" s="16">
        <v>4</v>
      </c>
      <c r="P23" s="16">
        <v>1</v>
      </c>
      <c r="Q23" s="16">
        <v>3</v>
      </c>
      <c r="R23" s="16">
        <v>2</v>
      </c>
      <c r="S23" s="1" t="s">
        <v>85</v>
      </c>
      <c r="T23" s="27">
        <v>525</v>
      </c>
      <c r="U23" s="21">
        <v>317</v>
      </c>
      <c r="V23" s="21">
        <v>2</v>
      </c>
      <c r="W23" s="46">
        <f t="shared" si="3"/>
        <v>0.3961904761904762</v>
      </c>
      <c r="X23" s="28" t="s">
        <v>76</v>
      </c>
      <c r="Y23" s="16" t="s">
        <v>88</v>
      </c>
      <c r="Z23" s="16" t="s">
        <v>88</v>
      </c>
      <c r="AA23" s="16" t="s">
        <v>88</v>
      </c>
      <c r="AB23" s="16" t="s">
        <v>88</v>
      </c>
      <c r="AC23" s="16">
        <v>20</v>
      </c>
      <c r="AD23" s="16">
        <v>3</v>
      </c>
      <c r="AE23" s="16" t="s">
        <v>542</v>
      </c>
      <c r="AF23" s="1" t="s">
        <v>76</v>
      </c>
      <c r="AG23" s="16" t="s">
        <v>114</v>
      </c>
      <c r="AH23" s="16" t="s">
        <v>114</v>
      </c>
      <c r="AI23" s="16" t="s">
        <v>114</v>
      </c>
      <c r="AJ23" s="16" t="s">
        <v>114</v>
      </c>
      <c r="AK23" s="16">
        <v>4</v>
      </c>
      <c r="AL23" s="16">
        <v>1</v>
      </c>
      <c r="AM23" s="16">
        <v>2</v>
      </c>
      <c r="AN23" s="16">
        <v>3</v>
      </c>
      <c r="AO23" s="16" t="s">
        <v>85</v>
      </c>
      <c r="AP23" s="16">
        <v>3</v>
      </c>
      <c r="AQ23" s="16">
        <v>1</v>
      </c>
      <c r="AR23" s="16">
        <v>2</v>
      </c>
      <c r="AS23" s="16">
        <v>0</v>
      </c>
      <c r="AT23" s="16">
        <v>0</v>
      </c>
      <c r="AU23" s="16">
        <v>0</v>
      </c>
      <c r="AV23" s="16">
        <v>0</v>
      </c>
      <c r="AW23" s="16">
        <v>0</v>
      </c>
      <c r="AX23" s="16">
        <v>0</v>
      </c>
      <c r="AY23" s="71"/>
      <c r="BA23" s="71"/>
      <c r="BB23" s="33"/>
      <c r="BC23" s="33"/>
    </row>
    <row r="24" spans="1:137" ht="15.6" customHeight="1" x14ac:dyDescent="0.6">
      <c r="A24" s="76">
        <v>4</v>
      </c>
      <c r="B24" s="88">
        <v>144077</v>
      </c>
      <c r="C24" s="88" t="s">
        <v>520</v>
      </c>
      <c r="D24" s="1" t="s">
        <v>85</v>
      </c>
      <c r="E24" s="1"/>
      <c r="F24" s="16" t="s">
        <v>80</v>
      </c>
      <c r="G24" s="84"/>
      <c r="H24" s="29" t="s">
        <v>119</v>
      </c>
      <c r="I24" s="7"/>
      <c r="J24" s="64"/>
      <c r="K24" s="7"/>
      <c r="L24" s="1"/>
      <c r="M24" s="15"/>
      <c r="N24" s="44">
        <v>0.47</v>
      </c>
      <c r="O24" s="16">
        <v>4</v>
      </c>
      <c r="P24" s="16">
        <v>0</v>
      </c>
      <c r="Q24" s="16">
        <v>0</v>
      </c>
      <c r="R24" s="16">
        <v>0</v>
      </c>
      <c r="S24" s="1" t="s">
        <v>76</v>
      </c>
      <c r="T24" s="27">
        <v>104</v>
      </c>
      <c r="U24" s="16" t="s">
        <v>114</v>
      </c>
      <c r="V24" s="16" t="s">
        <v>114</v>
      </c>
      <c r="W24" s="16" t="s">
        <v>114</v>
      </c>
      <c r="X24" s="28" t="s">
        <v>76</v>
      </c>
      <c r="Y24" s="16" t="s">
        <v>88</v>
      </c>
      <c r="Z24" s="16" t="s">
        <v>88</v>
      </c>
      <c r="AA24" s="16" t="s">
        <v>88</v>
      </c>
      <c r="AB24" s="16" t="s">
        <v>88</v>
      </c>
      <c r="AC24" s="16">
        <v>18</v>
      </c>
      <c r="AD24" s="16">
        <v>0</v>
      </c>
      <c r="AE24" s="16" t="s">
        <v>542</v>
      </c>
      <c r="AF24" s="1" t="s">
        <v>76</v>
      </c>
      <c r="AG24" s="16" t="s">
        <v>114</v>
      </c>
      <c r="AH24" s="16" t="s">
        <v>114</v>
      </c>
      <c r="AI24" s="16" t="s">
        <v>114</v>
      </c>
      <c r="AJ24" s="16" t="s">
        <v>114</v>
      </c>
      <c r="AK24" s="16">
        <v>3</v>
      </c>
      <c r="AL24" s="16">
        <v>1</v>
      </c>
      <c r="AM24" s="16">
        <v>1</v>
      </c>
      <c r="AN24" s="16">
        <v>0</v>
      </c>
      <c r="AO24" s="16" t="s">
        <v>76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6">
        <v>0</v>
      </c>
      <c r="AV24" s="16">
        <v>0</v>
      </c>
      <c r="AW24" s="16">
        <v>0</v>
      </c>
      <c r="AX24" s="16">
        <v>0</v>
      </c>
      <c r="AY24" s="71"/>
      <c r="BA24" s="71"/>
      <c r="BB24" s="33"/>
      <c r="BC24" s="33"/>
    </row>
    <row r="25" spans="1:137" ht="15.6" customHeight="1" x14ac:dyDescent="0.6">
      <c r="B25" s="84">
        <v>144085</v>
      </c>
      <c r="C25" s="76" t="s">
        <v>538</v>
      </c>
      <c r="D25" s="28" t="s">
        <v>76</v>
      </c>
      <c r="E25" s="1"/>
      <c r="F25" s="71" t="s">
        <v>96</v>
      </c>
      <c r="G25" s="72"/>
      <c r="H25" s="29" t="s">
        <v>119</v>
      </c>
      <c r="I25" s="7"/>
      <c r="J25" s="64"/>
      <c r="K25" s="7"/>
      <c r="L25" s="94"/>
      <c r="M25" s="36"/>
      <c r="N25" s="44"/>
      <c r="O25" s="16"/>
      <c r="P25" s="16"/>
      <c r="Q25" s="16"/>
      <c r="R25" s="16"/>
      <c r="S25" s="16"/>
      <c r="T25" s="16"/>
      <c r="U25" s="16"/>
      <c r="V25" s="16"/>
      <c r="W25" s="46"/>
      <c r="X25" s="16"/>
      <c r="Y25" s="16"/>
      <c r="Z25" s="16"/>
      <c r="AA25" s="16"/>
      <c r="AB25" s="16"/>
      <c r="AC25" s="16"/>
      <c r="AD25" s="16"/>
      <c r="AE25" s="16"/>
      <c r="AF25" s="16"/>
      <c r="AG25" s="4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85"/>
      <c r="AZ25" s="46"/>
      <c r="BA25" s="85"/>
      <c r="BB25" s="72"/>
      <c r="BC25" s="72"/>
      <c r="BD25" s="86"/>
      <c r="BF25" s="87"/>
      <c r="BG25" s="87"/>
    </row>
    <row r="26" spans="1:137" ht="15.6" customHeight="1" x14ac:dyDescent="0.6">
      <c r="B26" s="84">
        <v>144087</v>
      </c>
      <c r="C26" s="84" t="s">
        <v>120</v>
      </c>
      <c r="D26" s="28" t="s">
        <v>76</v>
      </c>
      <c r="E26" s="72"/>
      <c r="F26" s="71" t="s">
        <v>96</v>
      </c>
      <c r="G26" s="72"/>
      <c r="H26" s="72" t="s">
        <v>121</v>
      </c>
      <c r="I26" s="7"/>
      <c r="J26" s="64"/>
      <c r="K26" s="7"/>
      <c r="L26" s="94"/>
      <c r="M26" s="36"/>
      <c r="N26" s="44"/>
      <c r="O26" s="16"/>
      <c r="P26" s="16"/>
      <c r="Q26" s="16"/>
      <c r="R26" s="16"/>
      <c r="S26" s="16"/>
      <c r="T26" s="16"/>
      <c r="U26" s="16"/>
      <c r="V26" s="16"/>
      <c r="W26" s="46"/>
      <c r="X26" s="16"/>
      <c r="Y26" s="16"/>
      <c r="Z26" s="16"/>
      <c r="AA26" s="16"/>
      <c r="AB26" s="16"/>
      <c r="AC26" s="16"/>
      <c r="AD26" s="16"/>
      <c r="AE26" s="16"/>
      <c r="AF26" s="16"/>
      <c r="AG26" s="4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85"/>
      <c r="AZ26" s="46"/>
      <c r="BA26" s="85"/>
      <c r="BB26" s="72"/>
      <c r="BC26" s="72"/>
      <c r="BD26" s="86"/>
      <c r="BF26" s="87"/>
      <c r="BG26" s="87"/>
    </row>
    <row r="27" spans="1:137" ht="15.6" customHeight="1" x14ac:dyDescent="0.6">
      <c r="B27" s="60"/>
      <c r="C27" s="60"/>
      <c r="D27" s="1"/>
      <c r="E27" s="1"/>
      <c r="F27" s="16"/>
      <c r="G27" s="84"/>
      <c r="H27" s="29"/>
      <c r="I27" s="7"/>
      <c r="J27" s="64"/>
      <c r="K27" s="7"/>
      <c r="L27" s="1"/>
      <c r="M27" s="15"/>
      <c r="N27" s="15"/>
      <c r="O27" s="1"/>
      <c r="P27" s="5"/>
      <c r="Q27" s="1"/>
      <c r="R27" s="1"/>
      <c r="S27" s="1"/>
      <c r="T27" s="27"/>
      <c r="U27" s="21"/>
      <c r="V27" s="21"/>
      <c r="W27" s="6"/>
      <c r="X27" s="5"/>
      <c r="Y27" s="7"/>
      <c r="Z27" s="7"/>
      <c r="AA27" s="7"/>
      <c r="AB27" s="7"/>
      <c r="AC27" s="7"/>
      <c r="AD27" s="5"/>
      <c r="AE27" s="5"/>
      <c r="AF27" s="1"/>
      <c r="AG27" s="6"/>
      <c r="AH27" s="5"/>
      <c r="AI27" s="2"/>
      <c r="AJ27" s="2"/>
      <c r="AK27" s="2"/>
      <c r="AL27" s="1"/>
      <c r="AM27" s="1"/>
      <c r="AN27" s="1"/>
      <c r="AO27" s="1"/>
      <c r="AP27" s="2"/>
      <c r="AQ27" s="2"/>
      <c r="AR27" s="1"/>
      <c r="AS27" s="1"/>
      <c r="AT27" s="5"/>
      <c r="AU27" s="5"/>
      <c r="AV27" s="5"/>
      <c r="AW27" s="5"/>
      <c r="AX27" s="1"/>
      <c r="AY27" s="71"/>
      <c r="BA27" s="71"/>
      <c r="BB27" s="33"/>
      <c r="BC27" s="33"/>
    </row>
    <row r="28" spans="1:137" ht="89.25" customHeight="1" x14ac:dyDescent="0.6">
      <c r="B28" s="184" t="s">
        <v>122</v>
      </c>
      <c r="C28" s="184"/>
      <c r="D28" s="185"/>
      <c r="E28" s="185"/>
      <c r="F28" s="185"/>
      <c r="G28" s="185"/>
      <c r="H28" s="185"/>
      <c r="I28" s="185"/>
      <c r="J28" s="95"/>
      <c r="K28" s="96"/>
      <c r="L28" s="37"/>
      <c r="M28" s="38"/>
      <c r="N28" s="38"/>
      <c r="O28" s="98" t="s">
        <v>123</v>
      </c>
      <c r="P28" s="98" t="s">
        <v>124</v>
      </c>
      <c r="Q28" s="98" t="s">
        <v>123</v>
      </c>
      <c r="R28" s="98" t="s">
        <v>125</v>
      </c>
      <c r="S28" s="142" t="s">
        <v>126</v>
      </c>
      <c r="T28" s="39"/>
      <c r="U28" s="40"/>
      <c r="V28" s="173" t="s">
        <v>127</v>
      </c>
      <c r="W28" s="41"/>
      <c r="X28" s="98" t="s">
        <v>128</v>
      </c>
      <c r="Y28" s="96"/>
      <c r="Z28" s="96"/>
      <c r="AA28" s="96"/>
      <c r="AB28" s="98" t="s">
        <v>129</v>
      </c>
      <c r="AC28" s="98"/>
      <c r="AD28" s="142" t="s">
        <v>130</v>
      </c>
      <c r="AE28" s="142" t="s">
        <v>131</v>
      </c>
      <c r="AF28" s="37"/>
      <c r="AG28" s="41"/>
      <c r="AH28" s="98" t="s">
        <v>132</v>
      </c>
      <c r="AI28" s="42"/>
      <c r="AJ28" s="98" t="s">
        <v>133</v>
      </c>
      <c r="AK28" s="98"/>
      <c r="AL28" s="37"/>
      <c r="AM28" s="142" t="s">
        <v>134</v>
      </c>
      <c r="AN28" s="37"/>
      <c r="AO28" s="37"/>
      <c r="AP28" s="168"/>
      <c r="AQ28" s="42"/>
      <c r="AR28" s="37"/>
      <c r="AS28" s="37"/>
      <c r="AT28" s="97"/>
      <c r="AU28" s="97"/>
      <c r="AV28" s="97"/>
      <c r="AW28" s="97"/>
      <c r="AX28" s="142" t="s">
        <v>135</v>
      </c>
      <c r="AY28" s="99"/>
      <c r="AZ28" s="99"/>
      <c r="BA28" s="99"/>
      <c r="BB28" s="43"/>
      <c r="BC28" s="33"/>
    </row>
    <row r="29" spans="1:137" ht="16.350000000000001" customHeight="1" x14ac:dyDescent="0.6">
      <c r="D29" s="100"/>
      <c r="E29" s="100"/>
      <c r="F29" s="100"/>
      <c r="G29" s="101"/>
      <c r="H29" s="72"/>
      <c r="O29" s="1"/>
      <c r="P29" s="2"/>
      <c r="Q29" s="2"/>
      <c r="R29" s="1"/>
      <c r="S29" s="1"/>
      <c r="T29" s="21"/>
      <c r="U29" s="21"/>
      <c r="V29" s="21"/>
      <c r="W29" s="2"/>
      <c r="X29" s="7"/>
      <c r="Y29" s="21"/>
      <c r="Z29" s="21"/>
      <c r="AA29" s="2"/>
      <c r="AB29" s="7"/>
      <c r="AC29" s="7"/>
      <c r="AD29" s="2"/>
      <c r="AE29" s="2"/>
      <c r="AF29" s="2"/>
      <c r="AG29" s="2"/>
      <c r="AH29" s="2"/>
      <c r="AI29" s="1"/>
      <c r="AJ29" s="2"/>
      <c r="AK29" s="2"/>
      <c r="AL29" s="1"/>
      <c r="AM29" s="2"/>
      <c r="AN29" s="2"/>
      <c r="AO29" s="2"/>
      <c r="AP29" s="2"/>
      <c r="AQ29" s="2"/>
      <c r="AR29" s="1"/>
      <c r="AS29" s="1"/>
      <c r="AT29" s="1"/>
      <c r="AU29" s="1"/>
      <c r="AV29" s="1"/>
      <c r="AW29" s="1"/>
      <c r="AX29" s="2"/>
      <c r="AY29" s="7"/>
      <c r="AZ29" s="7"/>
      <c r="BA29" s="7"/>
      <c r="BB29" s="102"/>
      <c r="BC29" s="102"/>
    </row>
    <row r="30" spans="1:137" s="81" customFormat="1" ht="14.85" customHeight="1" x14ac:dyDescent="0.6">
      <c r="B30" s="183" t="s">
        <v>136</v>
      </c>
      <c r="C30" s="183"/>
      <c r="D30" s="8"/>
      <c r="E30" s="8"/>
      <c r="F30" s="8"/>
      <c r="G30" s="30"/>
      <c r="H30" s="32"/>
      <c r="I30" s="9"/>
      <c r="J30" s="9"/>
      <c r="K30" s="9"/>
      <c r="L30" s="9"/>
      <c r="M30" s="9"/>
      <c r="N30" s="9"/>
      <c r="O30" s="10"/>
      <c r="P30" s="8"/>
      <c r="Q30" s="10"/>
      <c r="R30" s="8"/>
      <c r="S30" s="8"/>
      <c r="T30" s="22"/>
      <c r="U30" s="22"/>
      <c r="V30" s="22"/>
      <c r="W30" s="8"/>
      <c r="X30" s="8"/>
      <c r="Y30" s="22"/>
      <c r="Z30" s="22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10"/>
      <c r="AS30" s="10"/>
      <c r="AT30" s="10"/>
      <c r="AU30" s="10"/>
      <c r="AV30" s="10"/>
      <c r="AW30" s="10"/>
      <c r="AX30" s="8"/>
      <c r="AY30" s="11"/>
      <c r="AZ30" s="11"/>
      <c r="BA30" s="11"/>
      <c r="BB30" s="35"/>
      <c r="BC30" s="35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</row>
    <row r="31" spans="1:137" s="103" customFormat="1" ht="15.6" x14ac:dyDescent="0.6">
      <c r="A31" s="76">
        <v>1</v>
      </c>
      <c r="B31" s="88">
        <v>146115</v>
      </c>
      <c r="C31" s="88" t="s">
        <v>137</v>
      </c>
      <c r="D31" s="28" t="s">
        <v>76</v>
      </c>
      <c r="E31" s="1"/>
      <c r="F31" s="28" t="s">
        <v>529</v>
      </c>
      <c r="G31" s="72" t="s">
        <v>138</v>
      </c>
      <c r="H31" s="29" t="s">
        <v>139</v>
      </c>
      <c r="I31" s="7" t="s">
        <v>140</v>
      </c>
      <c r="J31" s="64"/>
      <c r="K31" s="7"/>
      <c r="L31" s="1" t="s">
        <v>85</v>
      </c>
      <c r="M31" s="44">
        <v>0</v>
      </c>
      <c r="N31" s="44">
        <v>0.74</v>
      </c>
      <c r="O31" s="16">
        <v>3</v>
      </c>
      <c r="P31" s="16">
        <v>3</v>
      </c>
      <c r="Q31" s="16">
        <v>4</v>
      </c>
      <c r="R31" s="16">
        <v>5</v>
      </c>
      <c r="S31" s="16" t="s">
        <v>76</v>
      </c>
      <c r="T31" s="16" t="s">
        <v>82</v>
      </c>
      <c r="U31" s="16" t="s">
        <v>88</v>
      </c>
      <c r="V31" s="16"/>
      <c r="W31" s="46" t="s">
        <v>88</v>
      </c>
      <c r="X31" s="16" t="s">
        <v>76</v>
      </c>
      <c r="Y31" s="16" t="s">
        <v>88</v>
      </c>
      <c r="Z31" s="16" t="s">
        <v>88</v>
      </c>
      <c r="AA31" s="16" t="s">
        <v>88</v>
      </c>
      <c r="AB31" s="16" t="s">
        <v>88</v>
      </c>
      <c r="AC31" s="16">
        <v>12</v>
      </c>
      <c r="AD31" s="16"/>
      <c r="AE31" s="46" t="s">
        <v>114</v>
      </c>
      <c r="AF31" s="16" t="s">
        <v>76</v>
      </c>
      <c r="AG31" s="46" t="s">
        <v>114</v>
      </c>
      <c r="AH31" s="16" t="s">
        <v>114</v>
      </c>
      <c r="AI31" s="16" t="s">
        <v>114</v>
      </c>
      <c r="AJ31" s="16" t="s">
        <v>114</v>
      </c>
      <c r="AK31" s="16">
        <v>0</v>
      </c>
      <c r="AL31" s="16">
        <v>0</v>
      </c>
      <c r="AM31" s="16">
        <v>1</v>
      </c>
      <c r="AN31" s="16">
        <v>1</v>
      </c>
      <c r="AO31" s="16"/>
      <c r="AP31" s="16">
        <v>1</v>
      </c>
      <c r="AQ31" s="16"/>
      <c r="AR31" s="16">
        <v>1</v>
      </c>
      <c r="AS31" s="16">
        <v>1</v>
      </c>
      <c r="AT31" s="16">
        <v>1</v>
      </c>
      <c r="AU31" s="16">
        <v>1</v>
      </c>
      <c r="AV31" s="16">
        <v>1</v>
      </c>
      <c r="AW31" s="16">
        <v>1</v>
      </c>
      <c r="AX31" s="16">
        <v>1</v>
      </c>
      <c r="AY31" s="85" t="e">
        <f>O31+P31+Q31+R31+AC31+AD31+AF31+AK31+AL31+AM31+AN31+AP31+AR31+AS31+AT31+AU31+AV31+AW31+AX31</f>
        <v>#VALUE!</v>
      </c>
      <c r="AZ31" s="46" t="e">
        <f t="shared" ref="AZ31" si="4">AY31/67</f>
        <v>#VALUE!</v>
      </c>
      <c r="BA31" s="85" t="s">
        <v>89</v>
      </c>
      <c r="BB31" s="33"/>
      <c r="BC31" s="33"/>
      <c r="BD31" s="86" t="str">
        <f t="shared" ref="BD31:BD35" si="5">IF(N31&gt;60%,"YES","No")</f>
        <v>YES</v>
      </c>
      <c r="BE31" s="76" t="str">
        <f>C31</f>
        <v>Aquarium and Attractions Complex (hold)</v>
      </c>
      <c r="BF31" s="87" t="str">
        <f>H31</f>
        <v>John Strasius/ Kristen Winters</v>
      </c>
      <c r="BG31" s="87" t="e">
        <f>IF(AZ31&gt;65%,"No need to contact","need to contact")</f>
        <v>#VALUE!</v>
      </c>
      <c r="BH31" s="76"/>
      <c r="BI31" s="76"/>
      <c r="BJ31" s="76"/>
      <c r="BK31" s="76"/>
      <c r="BL31" s="76"/>
      <c r="BM31" s="76"/>
      <c r="BN31" s="76"/>
      <c r="BO31" s="76"/>
      <c r="BP31" s="76"/>
      <c r="BQ31" s="76"/>
      <c r="BR31" s="76"/>
      <c r="BS31" s="76"/>
      <c r="BT31" s="76"/>
      <c r="BU31" s="76"/>
      <c r="BV31" s="76"/>
      <c r="BW31" s="76"/>
      <c r="BX31" s="76"/>
      <c r="BY31" s="76"/>
      <c r="BZ31" s="76"/>
      <c r="CA31" s="76"/>
      <c r="CB31" s="76"/>
      <c r="CC31" s="76"/>
      <c r="CD31" s="76"/>
      <c r="CE31" s="76"/>
      <c r="CF31" s="76"/>
      <c r="CG31" s="76"/>
      <c r="CH31" s="76"/>
      <c r="CI31" s="76"/>
      <c r="CJ31" s="76"/>
      <c r="CK31" s="76"/>
      <c r="CL31" s="76"/>
      <c r="CM31" s="76"/>
      <c r="CN31" s="76"/>
      <c r="CO31" s="76"/>
      <c r="CP31" s="76"/>
      <c r="CQ31" s="76"/>
      <c r="CR31" s="76"/>
      <c r="CS31" s="76"/>
      <c r="CT31" s="76"/>
      <c r="CU31" s="76"/>
      <c r="CV31" s="76"/>
      <c r="CW31" s="76"/>
      <c r="CX31" s="76"/>
      <c r="CY31" s="76"/>
      <c r="CZ31" s="76"/>
      <c r="DA31" s="76"/>
      <c r="DB31" s="76"/>
      <c r="DC31" s="76"/>
      <c r="DD31" s="76"/>
      <c r="DE31" s="76"/>
      <c r="DF31" s="76"/>
      <c r="DG31" s="76"/>
      <c r="DH31" s="76"/>
      <c r="DI31" s="76"/>
      <c r="DJ31" s="76"/>
      <c r="DK31" s="76"/>
      <c r="DL31" s="76"/>
      <c r="DM31" s="76"/>
      <c r="DN31" s="76"/>
      <c r="DO31" s="76"/>
      <c r="DP31" s="76"/>
      <c r="DQ31" s="76"/>
      <c r="DR31" s="76"/>
      <c r="DS31" s="76"/>
      <c r="DT31" s="76"/>
      <c r="DU31" s="76"/>
      <c r="DV31" s="76"/>
      <c r="DW31" s="76"/>
      <c r="DX31" s="76"/>
      <c r="DY31" s="76"/>
      <c r="DZ31" s="76"/>
      <c r="EA31" s="76"/>
      <c r="EB31" s="76"/>
      <c r="EC31" s="76"/>
      <c r="ED31" s="76"/>
      <c r="EE31" s="76"/>
      <c r="EF31" s="76"/>
      <c r="EG31" s="76"/>
    </row>
    <row r="32" spans="1:137" ht="15.6" x14ac:dyDescent="0.6">
      <c r="A32" s="76">
        <v>2</v>
      </c>
      <c r="B32" s="88">
        <v>146121</v>
      </c>
      <c r="C32" s="88" t="s">
        <v>141</v>
      </c>
      <c r="D32" s="1" t="s">
        <v>85</v>
      </c>
      <c r="E32" s="104"/>
      <c r="F32" s="7" t="s">
        <v>93</v>
      </c>
      <c r="G32" s="29"/>
      <c r="H32" s="29" t="s">
        <v>142</v>
      </c>
      <c r="I32" s="71"/>
      <c r="J32" s="105"/>
      <c r="K32" s="105"/>
      <c r="L32" s="105"/>
      <c r="M32" s="105"/>
      <c r="N32" s="44">
        <v>0.82</v>
      </c>
      <c r="O32" s="16">
        <v>3</v>
      </c>
      <c r="P32" s="16">
        <v>3</v>
      </c>
      <c r="Q32" s="16">
        <v>3</v>
      </c>
      <c r="R32" s="16">
        <v>6</v>
      </c>
      <c r="S32" s="1" t="s">
        <v>85</v>
      </c>
      <c r="T32" s="50">
        <v>88</v>
      </c>
      <c r="U32" s="169">
        <v>0</v>
      </c>
      <c r="V32" s="50">
        <v>5</v>
      </c>
      <c r="W32" s="46">
        <f>(T32-U32)/T32</f>
        <v>1</v>
      </c>
      <c r="X32" s="1" t="s">
        <v>85</v>
      </c>
      <c r="Y32" s="16" t="s">
        <v>88</v>
      </c>
      <c r="Z32" s="16" t="s">
        <v>88</v>
      </c>
      <c r="AA32" s="16" t="s">
        <v>88</v>
      </c>
      <c r="AB32" s="16" t="s">
        <v>88</v>
      </c>
      <c r="AC32" s="7">
        <v>22</v>
      </c>
      <c r="AD32" s="1">
        <v>0</v>
      </c>
      <c r="AE32" s="7" t="s">
        <v>541</v>
      </c>
      <c r="AF32" s="16" t="s">
        <v>85</v>
      </c>
      <c r="AG32" s="46" t="s">
        <v>114</v>
      </c>
      <c r="AH32" s="16" t="s">
        <v>114</v>
      </c>
      <c r="AI32" s="16" t="s">
        <v>114</v>
      </c>
      <c r="AJ32" s="16" t="s">
        <v>114</v>
      </c>
      <c r="AK32" s="7">
        <v>0</v>
      </c>
      <c r="AL32" s="7">
        <v>4</v>
      </c>
      <c r="AM32" s="7">
        <v>2</v>
      </c>
      <c r="AN32" s="7">
        <v>0</v>
      </c>
      <c r="AO32" s="7" t="s">
        <v>85</v>
      </c>
      <c r="AP32" s="7">
        <v>3</v>
      </c>
      <c r="AQ32" s="7">
        <v>1</v>
      </c>
      <c r="AR32" s="7">
        <v>2</v>
      </c>
      <c r="AS32" s="7">
        <v>1</v>
      </c>
      <c r="AT32" s="7">
        <v>1</v>
      </c>
      <c r="AU32" s="7">
        <v>1</v>
      </c>
      <c r="AV32" s="7">
        <v>1</v>
      </c>
      <c r="AW32" s="7">
        <v>1</v>
      </c>
      <c r="AX32" s="7">
        <v>1</v>
      </c>
      <c r="AY32" s="7"/>
      <c r="AZ32" s="7"/>
      <c r="BA32" s="7"/>
      <c r="BD32" s="86" t="str">
        <f t="shared" si="5"/>
        <v>YES</v>
      </c>
      <c r="BE32" s="76" t="str">
        <f>C32</f>
        <v>KBHCCD Expansion</v>
      </c>
      <c r="BF32" s="87" t="str">
        <f>H32</f>
        <v>Jim Johnson</v>
      </c>
      <c r="BG32" s="87" t="str">
        <f t="shared" ref="BG32" si="6">IF(AZ32&gt;65%,"No need to contact","need to contact")</f>
        <v>need to contact</v>
      </c>
    </row>
    <row r="33" spans="1:137" ht="15.6" x14ac:dyDescent="0.6">
      <c r="A33" s="76">
        <v>3</v>
      </c>
      <c r="B33" s="88">
        <v>146110.00099999999</v>
      </c>
      <c r="C33" s="88" t="s">
        <v>144</v>
      </c>
      <c r="D33" s="28" t="s">
        <v>76</v>
      </c>
      <c r="E33" s="1"/>
      <c r="F33" s="28" t="s">
        <v>529</v>
      </c>
      <c r="H33" s="29" t="s">
        <v>139</v>
      </c>
      <c r="I33" s="72" t="s">
        <v>138</v>
      </c>
      <c r="J33" s="29" t="s">
        <v>139</v>
      </c>
      <c r="K33" s="71"/>
      <c r="L33" s="105"/>
      <c r="M33" s="105"/>
      <c r="N33" s="44">
        <v>1</v>
      </c>
      <c r="O33" s="16">
        <v>4</v>
      </c>
      <c r="P33" s="16">
        <v>4</v>
      </c>
      <c r="Q33" s="16">
        <v>4</v>
      </c>
      <c r="R33" s="16">
        <v>6</v>
      </c>
      <c r="S33" s="1" t="s">
        <v>85</v>
      </c>
      <c r="T33" s="16">
        <v>100</v>
      </c>
      <c r="U33" s="16">
        <v>24</v>
      </c>
      <c r="V33" s="16">
        <v>4</v>
      </c>
      <c r="W33" s="46">
        <f>(T33-U33)/T33</f>
        <v>0.76</v>
      </c>
      <c r="X33" s="16" t="s">
        <v>76</v>
      </c>
      <c r="Y33" s="16" t="s">
        <v>88</v>
      </c>
      <c r="Z33" s="16" t="s">
        <v>88</v>
      </c>
      <c r="AA33" s="16" t="s">
        <v>88</v>
      </c>
      <c r="AB33" s="16" t="s">
        <v>88</v>
      </c>
      <c r="AC33" s="16">
        <v>22</v>
      </c>
      <c r="AD33" s="16">
        <v>1</v>
      </c>
      <c r="AE33" s="16" t="s">
        <v>541</v>
      </c>
      <c r="AF33" s="16" t="s">
        <v>85</v>
      </c>
      <c r="AG33" s="46" t="s">
        <v>114</v>
      </c>
      <c r="AH33" s="16" t="s">
        <v>114</v>
      </c>
      <c r="AI33" s="16" t="s">
        <v>114</v>
      </c>
      <c r="AJ33" s="16" t="s">
        <v>114</v>
      </c>
      <c r="AK33" s="16">
        <v>4</v>
      </c>
      <c r="AL33" s="16">
        <v>3</v>
      </c>
      <c r="AM33" s="16">
        <v>3</v>
      </c>
      <c r="AN33" s="16">
        <v>1</v>
      </c>
      <c r="AO33" s="16"/>
      <c r="AP33" s="16">
        <v>3</v>
      </c>
      <c r="AQ33" s="16"/>
      <c r="AR33" s="16">
        <v>0</v>
      </c>
      <c r="AS33" s="16">
        <v>0</v>
      </c>
      <c r="AT33" s="16">
        <v>0</v>
      </c>
      <c r="AU33" s="16">
        <v>0</v>
      </c>
      <c r="AV33" s="16">
        <v>0</v>
      </c>
      <c r="AW33" s="16">
        <v>0</v>
      </c>
      <c r="AX33" s="16">
        <v>1</v>
      </c>
      <c r="AY33" s="16"/>
      <c r="AZ33" s="16"/>
      <c r="BA33" s="16"/>
      <c r="BB33" s="16"/>
      <c r="BC33" s="16"/>
      <c r="BD33" s="86" t="str">
        <f t="shared" si="5"/>
        <v>YES</v>
      </c>
      <c r="BE33" s="33"/>
    </row>
    <row r="34" spans="1:137" ht="15.6" x14ac:dyDescent="0.6">
      <c r="A34" s="76">
        <v>4</v>
      </c>
      <c r="B34" s="88">
        <v>146122</v>
      </c>
      <c r="C34" s="88" t="s">
        <v>145</v>
      </c>
      <c r="D34" s="28" t="s">
        <v>76</v>
      </c>
      <c r="E34" s="1"/>
      <c r="F34" s="28" t="s">
        <v>529</v>
      </c>
      <c r="H34" s="29" t="s">
        <v>146</v>
      </c>
      <c r="I34" s="72"/>
      <c r="J34" s="29"/>
      <c r="K34" s="71"/>
      <c r="L34" s="105"/>
      <c r="M34" s="105"/>
      <c r="N34" s="53">
        <v>0</v>
      </c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86" t="str">
        <f t="shared" si="5"/>
        <v>No</v>
      </c>
      <c r="BE34" s="33"/>
    </row>
    <row r="35" spans="1:137" ht="15.6" x14ac:dyDescent="0.6">
      <c r="A35" s="76">
        <v>5</v>
      </c>
      <c r="B35" s="88">
        <v>146123</v>
      </c>
      <c r="C35" s="88" t="s">
        <v>147</v>
      </c>
      <c r="D35" s="1" t="s">
        <v>85</v>
      </c>
      <c r="E35" s="5"/>
      <c r="F35" s="16" t="s">
        <v>91</v>
      </c>
      <c r="H35" s="33" t="s">
        <v>148</v>
      </c>
      <c r="I35" s="72"/>
      <c r="J35" s="29"/>
      <c r="K35" s="71"/>
      <c r="L35" s="105"/>
      <c r="M35" s="105"/>
      <c r="N35" s="44">
        <v>0.92</v>
      </c>
      <c r="O35" s="16">
        <v>4</v>
      </c>
      <c r="P35" s="16">
        <v>3</v>
      </c>
      <c r="Q35" s="16">
        <v>4</v>
      </c>
      <c r="R35" s="16">
        <v>6</v>
      </c>
      <c r="S35" s="16" t="s">
        <v>85</v>
      </c>
      <c r="T35" s="16">
        <v>36</v>
      </c>
      <c r="U35" s="16">
        <v>130</v>
      </c>
      <c r="V35" s="16">
        <v>1</v>
      </c>
      <c r="W35" s="47">
        <v>0</v>
      </c>
      <c r="X35" s="16" t="s">
        <v>76</v>
      </c>
      <c r="Y35" s="16" t="s">
        <v>88</v>
      </c>
      <c r="Z35" s="16" t="s">
        <v>88</v>
      </c>
      <c r="AA35" s="16" t="s">
        <v>88</v>
      </c>
      <c r="AB35" s="16" t="s">
        <v>88</v>
      </c>
      <c r="AC35" s="16">
        <v>22</v>
      </c>
      <c r="AD35" s="16">
        <v>1</v>
      </c>
      <c r="AE35" s="16" t="s">
        <v>542</v>
      </c>
      <c r="AF35" s="16" t="s">
        <v>76</v>
      </c>
      <c r="AG35" s="47">
        <v>0.5</v>
      </c>
      <c r="AH35" s="16" t="s">
        <v>85</v>
      </c>
      <c r="AI35" s="47">
        <v>0.5</v>
      </c>
      <c r="AJ35" s="16" t="s">
        <v>85</v>
      </c>
      <c r="AK35" s="16">
        <v>10</v>
      </c>
      <c r="AL35" s="16">
        <v>2</v>
      </c>
      <c r="AM35" s="16">
        <v>3</v>
      </c>
      <c r="AN35" s="16">
        <v>1</v>
      </c>
      <c r="AO35" s="16" t="s">
        <v>85</v>
      </c>
      <c r="AP35" s="16">
        <v>2</v>
      </c>
      <c r="AQ35" s="16">
        <v>1</v>
      </c>
      <c r="AR35" s="16">
        <v>1</v>
      </c>
      <c r="AS35" s="16">
        <v>1</v>
      </c>
      <c r="AT35" s="16">
        <v>1</v>
      </c>
      <c r="AU35" s="16">
        <v>1</v>
      </c>
      <c r="AV35" s="16">
        <v>1</v>
      </c>
      <c r="AW35" s="16">
        <v>1</v>
      </c>
      <c r="AX35" s="16">
        <v>1</v>
      </c>
      <c r="AY35" s="16"/>
      <c r="AZ35" s="16"/>
      <c r="BA35" s="16"/>
      <c r="BB35" s="16"/>
      <c r="BC35" s="16"/>
      <c r="BD35" s="86" t="str">
        <f t="shared" si="5"/>
        <v>YES</v>
      </c>
      <c r="BE35" s="33"/>
    </row>
    <row r="36" spans="1:137" ht="15.6" hidden="1" x14ac:dyDescent="0.6">
      <c r="B36" s="60">
        <v>146108</v>
      </c>
      <c r="C36" s="60" t="s">
        <v>149</v>
      </c>
      <c r="D36" s="28" t="s">
        <v>76</v>
      </c>
      <c r="E36" s="29" t="s">
        <v>150</v>
      </c>
      <c r="F36" s="16" t="s">
        <v>151</v>
      </c>
      <c r="G36" s="29"/>
      <c r="H36" s="29" t="s">
        <v>152</v>
      </c>
      <c r="I36" s="71"/>
      <c r="J36" s="105"/>
      <c r="K36" s="105"/>
      <c r="L36" s="105"/>
      <c r="M36" s="105"/>
      <c r="N36" s="105"/>
      <c r="O36" s="16"/>
      <c r="P36" s="16"/>
      <c r="Q36" s="16"/>
      <c r="R36" s="16"/>
      <c r="S36" s="16"/>
      <c r="T36" s="16"/>
      <c r="U36" s="16"/>
      <c r="V36" s="16"/>
      <c r="W36" s="46"/>
      <c r="X36" s="16"/>
      <c r="Y36" s="16"/>
      <c r="Z36" s="16"/>
      <c r="AA36" s="16"/>
      <c r="AB36" s="16"/>
      <c r="AC36" s="16"/>
      <c r="AD36" s="16"/>
      <c r="AE36" s="16"/>
      <c r="AF36" s="16"/>
      <c r="AG36" s="4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85"/>
      <c r="AZ36" s="46"/>
      <c r="BA36" s="85"/>
      <c r="BB36" s="33"/>
      <c r="BC36" s="33"/>
      <c r="BD36" s="86" t="str">
        <f t="shared" ref="BD36" si="7">IF(N36&gt;60%,"YES","No")</f>
        <v>No</v>
      </c>
      <c r="BE36" s="76" t="str">
        <f>C36</f>
        <v>Texas Farm Bureau Waco HQ Renovations (Only Concept)</v>
      </c>
      <c r="BF36" s="87" t="str">
        <f>H36</f>
        <v>Strasius, John</v>
      </c>
      <c r="BG36" s="87" t="str">
        <f t="shared" ref="BG36" si="8">IF(AZ36&gt;65%,"No need to contact","need to contact")</f>
        <v>need to contact</v>
      </c>
    </row>
    <row r="37" spans="1:137" ht="15.6" hidden="1" x14ac:dyDescent="0.6">
      <c r="B37" s="60">
        <v>146106.00099999999</v>
      </c>
      <c r="C37" s="60" t="s">
        <v>153</v>
      </c>
      <c r="D37" s="28" t="s">
        <v>76</v>
      </c>
      <c r="E37" s="1"/>
      <c r="F37" s="16" t="s">
        <v>154</v>
      </c>
      <c r="H37" s="29" t="s">
        <v>139</v>
      </c>
      <c r="I37" s="72"/>
      <c r="J37" s="29"/>
      <c r="K37" s="71"/>
      <c r="L37" s="105"/>
      <c r="M37" s="105"/>
      <c r="N37" s="105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7"/>
      <c r="BE37" s="33"/>
    </row>
    <row r="38" spans="1:137" ht="15.6" hidden="1" x14ac:dyDescent="0.6">
      <c r="B38" s="60">
        <v>146121.00399999999</v>
      </c>
      <c r="C38" s="60" t="s">
        <v>155</v>
      </c>
      <c r="D38" s="28" t="s">
        <v>76</v>
      </c>
      <c r="E38" s="1"/>
      <c r="F38" s="16" t="s">
        <v>154</v>
      </c>
      <c r="H38" s="29" t="s">
        <v>142</v>
      </c>
      <c r="I38" s="72"/>
      <c r="J38" s="29"/>
      <c r="K38" s="71"/>
      <c r="L38" s="105"/>
      <c r="M38" s="105"/>
      <c r="N38" s="105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7"/>
      <c r="BE38" s="33"/>
    </row>
    <row r="39" spans="1:137" ht="15.6" hidden="1" x14ac:dyDescent="0.6">
      <c r="B39" s="60">
        <v>146122.00200000001</v>
      </c>
      <c r="C39" s="60" t="s">
        <v>156</v>
      </c>
      <c r="D39" s="28" t="s">
        <v>76</v>
      </c>
      <c r="E39" s="1"/>
      <c r="F39" s="16" t="s">
        <v>154</v>
      </c>
      <c r="H39" s="29" t="s">
        <v>142</v>
      </c>
      <c r="I39" s="72"/>
      <c r="J39" s="29"/>
      <c r="K39" s="71"/>
      <c r="L39" s="105"/>
      <c r="M39" s="105"/>
      <c r="N39" s="105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7"/>
      <c r="BE39" s="33"/>
    </row>
    <row r="40" spans="1:137" ht="15.6" hidden="1" x14ac:dyDescent="0.6">
      <c r="B40" s="60">
        <v>146123.003</v>
      </c>
      <c r="C40" s="60" t="s">
        <v>157</v>
      </c>
      <c r="D40" s="28" t="s">
        <v>76</v>
      </c>
      <c r="E40" s="1"/>
      <c r="F40" s="16" t="s">
        <v>154</v>
      </c>
      <c r="H40" s="29" t="s">
        <v>142</v>
      </c>
      <c r="I40" s="72"/>
      <c r="J40" s="29"/>
      <c r="K40" s="71"/>
      <c r="L40" s="105"/>
      <c r="M40" s="105"/>
      <c r="N40" s="105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7"/>
      <c r="BE40" s="33"/>
    </row>
    <row r="41" spans="1:137" ht="15.6" hidden="1" x14ac:dyDescent="0.6">
      <c r="B41" s="60">
        <v>146121.00099999999</v>
      </c>
      <c r="C41" s="60" t="s">
        <v>158</v>
      </c>
      <c r="D41" s="28" t="s">
        <v>76</v>
      </c>
      <c r="E41" s="1"/>
      <c r="F41" s="16" t="s">
        <v>154</v>
      </c>
      <c r="H41" s="29" t="s">
        <v>142</v>
      </c>
      <c r="I41" s="72"/>
      <c r="J41" s="29"/>
      <c r="K41" s="71"/>
      <c r="L41" s="105"/>
      <c r="M41" s="105"/>
      <c r="N41" s="105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7"/>
      <c r="BE41" s="33"/>
    </row>
    <row r="42" spans="1:137" s="103" customFormat="1" ht="15.6" hidden="1" x14ac:dyDescent="0.6">
      <c r="A42" s="76"/>
      <c r="B42" s="60">
        <v>146110</v>
      </c>
      <c r="C42" s="106" t="s">
        <v>159</v>
      </c>
      <c r="D42" s="28" t="s">
        <v>76</v>
      </c>
      <c r="E42" s="1" t="s">
        <v>85</v>
      </c>
      <c r="F42" s="16" t="s">
        <v>77</v>
      </c>
      <c r="G42" s="84" t="s">
        <v>82</v>
      </c>
      <c r="H42" s="29" t="s">
        <v>160</v>
      </c>
      <c r="I42" s="7" t="s">
        <v>140</v>
      </c>
      <c r="J42" s="64"/>
      <c r="K42" s="7"/>
      <c r="L42" s="1" t="s">
        <v>85</v>
      </c>
      <c r="M42" s="44">
        <v>0</v>
      </c>
      <c r="N42" s="44"/>
      <c r="O42" s="16"/>
      <c r="P42" s="16"/>
      <c r="Q42" s="16"/>
      <c r="R42" s="16"/>
      <c r="S42" s="16"/>
      <c r="T42" s="16">
        <v>100</v>
      </c>
      <c r="U42" s="16">
        <v>24</v>
      </c>
      <c r="V42" s="16"/>
      <c r="W42" s="46">
        <v>0.76</v>
      </c>
      <c r="X42" s="16" t="s">
        <v>76</v>
      </c>
      <c r="Y42" s="16" t="s">
        <v>161</v>
      </c>
      <c r="Z42" s="16" t="s">
        <v>161</v>
      </c>
      <c r="AA42" s="16" t="s">
        <v>161</v>
      </c>
      <c r="AB42" s="16" t="s">
        <v>161</v>
      </c>
      <c r="AC42" s="16"/>
      <c r="AD42" s="16"/>
      <c r="AE42" s="16"/>
      <c r="AF42" s="16"/>
      <c r="AG42" s="4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85"/>
      <c r="AZ42" s="46"/>
      <c r="BA42" s="85"/>
      <c r="BB42" s="33"/>
      <c r="BC42" s="33"/>
      <c r="BD42" s="76"/>
      <c r="BE42" s="76"/>
      <c r="BF42" s="76"/>
      <c r="BG42" s="76"/>
      <c r="BH42" s="76"/>
      <c r="BI42" s="76"/>
      <c r="BJ42" s="76"/>
      <c r="BK42" s="76"/>
      <c r="BL42" s="76"/>
      <c r="BM42" s="76"/>
      <c r="BN42" s="76"/>
      <c r="BO42" s="76"/>
      <c r="BP42" s="76"/>
      <c r="BQ42" s="76"/>
      <c r="BR42" s="76"/>
      <c r="BS42" s="76"/>
      <c r="BT42" s="76"/>
      <c r="BU42" s="76"/>
      <c r="BV42" s="76"/>
      <c r="BW42" s="76"/>
      <c r="BX42" s="76"/>
      <c r="BY42" s="76"/>
      <c r="BZ42" s="76"/>
      <c r="CA42" s="76"/>
      <c r="CB42" s="76"/>
      <c r="CC42" s="76"/>
      <c r="CD42" s="76"/>
      <c r="CE42" s="76"/>
      <c r="CF42" s="76"/>
      <c r="CG42" s="76"/>
      <c r="CH42" s="76"/>
      <c r="CI42" s="76"/>
      <c r="CJ42" s="76"/>
      <c r="CK42" s="76"/>
      <c r="CL42" s="76"/>
      <c r="CM42" s="76"/>
      <c r="CN42" s="76"/>
      <c r="CO42" s="76"/>
      <c r="CP42" s="76"/>
      <c r="CQ42" s="76"/>
      <c r="CR42" s="76"/>
      <c r="CS42" s="76"/>
      <c r="CT42" s="76"/>
      <c r="CU42" s="76"/>
      <c r="CV42" s="76"/>
      <c r="CW42" s="76"/>
      <c r="CX42" s="76"/>
      <c r="CY42" s="76"/>
      <c r="CZ42" s="76"/>
      <c r="DA42" s="76"/>
      <c r="DB42" s="76"/>
      <c r="DC42" s="76"/>
      <c r="DD42" s="76"/>
      <c r="DE42" s="76"/>
      <c r="DF42" s="76"/>
      <c r="DG42" s="76"/>
      <c r="DH42" s="76"/>
      <c r="DI42" s="76"/>
      <c r="DJ42" s="76"/>
      <c r="DK42" s="76"/>
      <c r="DL42" s="76"/>
      <c r="DM42" s="76"/>
      <c r="DN42" s="76"/>
      <c r="DO42" s="76"/>
      <c r="DP42" s="76"/>
      <c r="DQ42" s="76"/>
      <c r="DR42" s="76"/>
      <c r="DS42" s="76"/>
      <c r="DT42" s="76"/>
      <c r="DU42" s="76"/>
      <c r="DV42" s="76"/>
      <c r="DW42" s="76"/>
      <c r="DX42" s="76"/>
      <c r="DY42" s="76"/>
      <c r="DZ42" s="76"/>
      <c r="EA42" s="76"/>
      <c r="EB42" s="76"/>
      <c r="EC42" s="76"/>
      <c r="ED42" s="76"/>
      <c r="EE42" s="76"/>
      <c r="EF42" s="76"/>
      <c r="EG42" s="76"/>
    </row>
    <row r="43" spans="1:137" s="103" customFormat="1" ht="15.6" hidden="1" x14ac:dyDescent="0.6">
      <c r="A43" s="76"/>
      <c r="B43" s="60">
        <v>146106</v>
      </c>
      <c r="C43" s="106" t="s">
        <v>162</v>
      </c>
      <c r="D43" s="28" t="s">
        <v>76</v>
      </c>
      <c r="E43" s="1"/>
      <c r="F43" s="16"/>
      <c r="G43" s="84" t="s">
        <v>82</v>
      </c>
      <c r="H43" s="29" t="s">
        <v>160</v>
      </c>
      <c r="I43" s="7" t="s">
        <v>140</v>
      </c>
      <c r="J43" s="64"/>
      <c r="K43" s="7"/>
      <c r="L43" s="28" t="s">
        <v>76</v>
      </c>
      <c r="M43" s="44">
        <v>0</v>
      </c>
      <c r="N43" s="44"/>
      <c r="O43" s="16"/>
      <c r="P43" s="16"/>
      <c r="Q43" s="16"/>
      <c r="R43" s="16"/>
      <c r="S43" s="16"/>
      <c r="T43" s="16"/>
      <c r="U43" s="16"/>
      <c r="V43" s="16"/>
      <c r="W43" s="46"/>
      <c r="X43" s="16"/>
      <c r="Y43" s="16"/>
      <c r="Z43" s="16"/>
      <c r="AA43" s="16"/>
      <c r="AB43" s="16"/>
      <c r="AC43" s="16"/>
      <c r="AD43" s="16"/>
      <c r="AE43" s="16"/>
      <c r="AF43" s="16"/>
      <c r="AG43" s="4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85"/>
      <c r="AZ43" s="46"/>
      <c r="BA43" s="85"/>
      <c r="BB43" s="33"/>
      <c r="BC43" s="33"/>
      <c r="BD43" s="76"/>
      <c r="BE43" s="76"/>
      <c r="BF43" s="76"/>
      <c r="BG43" s="76"/>
      <c r="BH43" s="76"/>
      <c r="BI43" s="76"/>
      <c r="BJ43" s="76"/>
      <c r="BK43" s="76"/>
      <c r="BL43" s="76"/>
      <c r="BM43" s="76"/>
      <c r="BN43" s="76"/>
      <c r="BO43" s="76"/>
      <c r="BP43" s="76"/>
      <c r="BQ43" s="76"/>
      <c r="BR43" s="76"/>
      <c r="BS43" s="76"/>
      <c r="BT43" s="76"/>
      <c r="BU43" s="76"/>
      <c r="BV43" s="76"/>
      <c r="BW43" s="76"/>
      <c r="BX43" s="76"/>
      <c r="BY43" s="76"/>
      <c r="BZ43" s="76"/>
      <c r="CA43" s="76"/>
      <c r="CB43" s="76"/>
      <c r="CC43" s="76"/>
      <c r="CD43" s="76"/>
      <c r="CE43" s="76"/>
      <c r="CF43" s="76"/>
      <c r="CG43" s="76"/>
      <c r="CH43" s="76"/>
      <c r="CI43" s="76"/>
      <c r="CJ43" s="76"/>
      <c r="CK43" s="76"/>
      <c r="CL43" s="76"/>
      <c r="CM43" s="76"/>
      <c r="CN43" s="76"/>
      <c r="CO43" s="76"/>
      <c r="CP43" s="76"/>
      <c r="CQ43" s="76"/>
      <c r="CR43" s="76"/>
      <c r="CS43" s="76"/>
      <c r="CT43" s="76"/>
      <c r="CU43" s="76"/>
      <c r="CV43" s="76"/>
      <c r="CW43" s="76"/>
      <c r="CX43" s="76"/>
      <c r="CY43" s="76"/>
      <c r="CZ43" s="76"/>
      <c r="DA43" s="76"/>
      <c r="DB43" s="76"/>
      <c r="DC43" s="76"/>
      <c r="DD43" s="76"/>
      <c r="DE43" s="76"/>
      <c r="DF43" s="76"/>
      <c r="DG43" s="76"/>
      <c r="DH43" s="76"/>
      <c r="DI43" s="76"/>
      <c r="DJ43" s="76"/>
      <c r="DK43" s="76"/>
      <c r="DL43" s="76"/>
      <c r="DM43" s="76"/>
      <c r="DN43" s="76"/>
      <c r="DO43" s="76"/>
      <c r="DP43" s="76"/>
      <c r="DQ43" s="76"/>
      <c r="DR43" s="76"/>
      <c r="DS43" s="76"/>
      <c r="DT43" s="76"/>
      <c r="DU43" s="76"/>
      <c r="DV43" s="76"/>
      <c r="DW43" s="76"/>
      <c r="DX43" s="76"/>
      <c r="DY43" s="76"/>
      <c r="DZ43" s="76"/>
      <c r="EA43" s="76"/>
      <c r="EB43" s="76"/>
      <c r="EC43" s="76"/>
      <c r="ED43" s="76"/>
      <c r="EE43" s="76"/>
      <c r="EF43" s="76"/>
      <c r="EG43" s="76"/>
    </row>
    <row r="44" spans="1:137" ht="15.6" x14ac:dyDescent="0.6">
      <c r="D44" s="59"/>
      <c r="E44" s="1"/>
      <c r="F44" s="16"/>
      <c r="G44" s="16"/>
      <c r="H44" s="72"/>
      <c r="I44" s="71"/>
      <c r="J44" s="105"/>
      <c r="K44" s="105"/>
      <c r="L44" s="105"/>
      <c r="M44" s="105"/>
      <c r="N44" s="105"/>
      <c r="O44" s="2"/>
      <c r="P44" s="1"/>
      <c r="Q44" s="1"/>
      <c r="R44" s="1"/>
      <c r="S44" s="1"/>
      <c r="T44" s="23"/>
      <c r="U44" s="23"/>
      <c r="V44" s="23"/>
      <c r="W44" s="1"/>
      <c r="X44" s="1"/>
      <c r="Y44" s="107"/>
      <c r="Z44" s="107"/>
      <c r="AA44" s="7"/>
      <c r="AB44" s="7"/>
      <c r="AC44" s="7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Y44" s="7"/>
      <c r="AZ44" s="7"/>
      <c r="BA44" s="7"/>
      <c r="BB44" s="33"/>
      <c r="BC44" s="33"/>
    </row>
    <row r="45" spans="1:137" s="103" customFormat="1" ht="74.25" customHeight="1" x14ac:dyDescent="0.6">
      <c r="B45" s="184" t="s">
        <v>163</v>
      </c>
      <c r="C45" s="184"/>
      <c r="D45" s="185"/>
      <c r="E45" s="185"/>
      <c r="F45" s="185"/>
      <c r="G45" s="185"/>
      <c r="H45" s="185"/>
      <c r="I45" s="185"/>
      <c r="J45" s="95"/>
      <c r="K45" s="96"/>
      <c r="L45" s="37"/>
      <c r="M45" s="38"/>
      <c r="N45" s="38"/>
      <c r="O45" s="98" t="s">
        <v>164</v>
      </c>
      <c r="P45" s="98" t="s">
        <v>164</v>
      </c>
      <c r="Q45" s="98" t="s">
        <v>165</v>
      </c>
      <c r="R45" s="98" t="s">
        <v>164</v>
      </c>
      <c r="S45" s="142" t="s">
        <v>126</v>
      </c>
      <c r="T45" s="39"/>
      <c r="U45" s="40"/>
      <c r="V45" s="173" t="s">
        <v>166</v>
      </c>
      <c r="W45" s="41"/>
      <c r="X45" s="98" t="s">
        <v>167</v>
      </c>
      <c r="Y45" s="96"/>
      <c r="Z45" s="96"/>
      <c r="AA45" s="96"/>
      <c r="AB45" s="98" t="s">
        <v>168</v>
      </c>
      <c r="AC45" s="98"/>
      <c r="AD45" s="142" t="s">
        <v>130</v>
      </c>
      <c r="AE45" s="142" t="s">
        <v>131</v>
      </c>
      <c r="AF45" s="37"/>
      <c r="AG45" s="41"/>
      <c r="AH45" s="98" t="s">
        <v>169</v>
      </c>
      <c r="AI45" s="42"/>
      <c r="AJ45" s="98" t="s">
        <v>169</v>
      </c>
      <c r="AK45" s="98"/>
      <c r="AL45" s="37"/>
      <c r="AM45" s="142" t="s">
        <v>170</v>
      </c>
      <c r="AN45" s="37"/>
      <c r="AO45" s="37"/>
      <c r="AP45" s="168"/>
      <c r="AQ45" s="42"/>
      <c r="AR45" s="37"/>
      <c r="AS45" s="37"/>
      <c r="AT45" s="97"/>
      <c r="AU45" s="97"/>
      <c r="AV45" s="97"/>
      <c r="AW45" s="97"/>
      <c r="AX45" s="142" t="s">
        <v>171</v>
      </c>
      <c r="AY45" s="99"/>
      <c r="AZ45" s="99"/>
      <c r="BA45" s="99"/>
      <c r="BB45" s="43"/>
      <c r="BC45" s="33"/>
      <c r="BD45" s="76"/>
      <c r="BE45" s="76"/>
      <c r="BF45" s="76"/>
      <c r="BG45" s="76"/>
      <c r="BH45" s="76"/>
      <c r="BI45" s="76"/>
      <c r="BJ45" s="76"/>
      <c r="BK45" s="76"/>
      <c r="BL45" s="76"/>
      <c r="BM45" s="76"/>
      <c r="BN45" s="76"/>
      <c r="BO45" s="76"/>
      <c r="BP45" s="76"/>
      <c r="BQ45" s="76"/>
      <c r="BR45" s="76"/>
      <c r="BS45" s="76"/>
      <c r="BT45" s="76"/>
      <c r="BU45" s="76"/>
      <c r="BV45" s="76"/>
      <c r="BW45" s="76"/>
      <c r="BX45" s="76"/>
      <c r="BY45" s="76"/>
      <c r="BZ45" s="76"/>
      <c r="CA45" s="76"/>
      <c r="CB45" s="76"/>
      <c r="CC45" s="76"/>
      <c r="CD45" s="76"/>
      <c r="CE45" s="76"/>
      <c r="CF45" s="76"/>
      <c r="CG45" s="76"/>
      <c r="CH45" s="76"/>
      <c r="CI45" s="76"/>
      <c r="CJ45" s="76"/>
      <c r="CK45" s="76"/>
      <c r="CL45" s="76"/>
      <c r="CM45" s="76"/>
      <c r="CN45" s="76"/>
      <c r="CO45" s="76"/>
      <c r="CP45" s="76"/>
      <c r="CQ45" s="76"/>
      <c r="CR45" s="76"/>
      <c r="CS45" s="76"/>
      <c r="CT45" s="76"/>
      <c r="CU45" s="76"/>
      <c r="CV45" s="76"/>
      <c r="CW45" s="76"/>
      <c r="CX45" s="76"/>
      <c r="CY45" s="76"/>
      <c r="CZ45" s="76"/>
      <c r="DA45" s="76"/>
      <c r="DB45" s="76"/>
      <c r="DC45" s="76"/>
      <c r="DD45" s="76"/>
      <c r="DE45" s="76"/>
      <c r="DF45" s="76"/>
      <c r="DG45" s="76"/>
      <c r="DH45" s="76"/>
      <c r="DI45" s="76"/>
      <c r="DJ45" s="76"/>
      <c r="DK45" s="76"/>
      <c r="DL45" s="76"/>
      <c r="DM45" s="76"/>
      <c r="DN45" s="76"/>
      <c r="DO45" s="76"/>
      <c r="DP45" s="76"/>
      <c r="DQ45" s="76"/>
      <c r="DR45" s="76"/>
      <c r="DS45" s="76"/>
      <c r="DT45" s="76"/>
      <c r="DU45" s="76"/>
      <c r="DV45" s="76"/>
      <c r="DW45" s="76"/>
      <c r="DX45" s="76"/>
      <c r="DY45" s="76"/>
      <c r="DZ45" s="76"/>
      <c r="EA45" s="76"/>
      <c r="EB45" s="76"/>
      <c r="EC45" s="76"/>
      <c r="ED45" s="76"/>
      <c r="EE45" s="76"/>
      <c r="EF45" s="76"/>
      <c r="EG45" s="76"/>
    </row>
    <row r="46" spans="1:137" ht="15.6" x14ac:dyDescent="0.6">
      <c r="D46" s="1"/>
      <c r="E46" s="1"/>
      <c r="F46" s="16"/>
      <c r="G46" s="1"/>
      <c r="H46" s="72"/>
      <c r="I46" s="71"/>
      <c r="J46" s="105"/>
      <c r="K46" s="105"/>
      <c r="L46" s="105"/>
      <c r="M46" s="105"/>
      <c r="N46" s="105"/>
      <c r="O46" s="2"/>
      <c r="P46" s="1"/>
      <c r="Q46" s="1"/>
      <c r="R46" s="1"/>
      <c r="S46" s="1"/>
      <c r="T46" s="23"/>
      <c r="U46" s="23"/>
      <c r="V46" s="23"/>
      <c r="W46" s="1"/>
      <c r="X46" s="7"/>
      <c r="Y46" s="107"/>
      <c r="Z46" s="107"/>
      <c r="AA46" s="7"/>
      <c r="AB46" s="7"/>
      <c r="AC46" s="7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Y46" s="7"/>
      <c r="AZ46" s="7"/>
      <c r="BA46" s="7"/>
      <c r="BB46" s="33"/>
      <c r="BC46" s="33"/>
    </row>
    <row r="47" spans="1:137" s="81" customFormat="1" ht="14.85" customHeight="1" x14ac:dyDescent="0.6">
      <c r="B47" s="183" t="s">
        <v>172</v>
      </c>
      <c r="C47" s="183"/>
      <c r="D47" s="8"/>
      <c r="E47" s="8"/>
      <c r="F47" s="8"/>
      <c r="G47" s="8"/>
      <c r="H47" s="32"/>
      <c r="I47" s="9"/>
      <c r="J47" s="9"/>
      <c r="K47" s="9"/>
      <c r="L47" s="9"/>
      <c r="M47" s="9"/>
      <c r="N47" s="9"/>
      <c r="O47" s="10"/>
      <c r="P47" s="8"/>
      <c r="Q47" s="10"/>
      <c r="R47" s="8"/>
      <c r="S47" s="8"/>
      <c r="T47" s="22"/>
      <c r="U47" s="22"/>
      <c r="V47" s="22"/>
      <c r="W47" s="8"/>
      <c r="X47" s="8"/>
      <c r="Y47" s="22"/>
      <c r="Z47" s="22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10"/>
      <c r="AS47" s="10"/>
      <c r="AT47" s="10"/>
      <c r="AU47" s="10"/>
      <c r="AV47" s="10"/>
      <c r="AW47" s="10"/>
      <c r="AX47" s="8"/>
      <c r="AY47" s="11"/>
      <c r="AZ47" s="11"/>
      <c r="BA47" s="11"/>
      <c r="BB47" s="11"/>
      <c r="BC47" s="11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</row>
    <row r="48" spans="1:137" s="103" customFormat="1" ht="14.5" customHeight="1" x14ac:dyDescent="0.6">
      <c r="A48" s="106">
        <v>1</v>
      </c>
      <c r="B48" s="88">
        <v>147659</v>
      </c>
      <c r="C48" s="108" t="s">
        <v>173</v>
      </c>
      <c r="D48" s="1" t="s">
        <v>85</v>
      </c>
      <c r="E48" s="7" t="s">
        <v>85</v>
      </c>
      <c r="F48" s="7" t="s">
        <v>80</v>
      </c>
      <c r="G48" s="55" t="s">
        <v>174</v>
      </c>
      <c r="H48" s="29" t="s">
        <v>175</v>
      </c>
      <c r="I48" s="7" t="s">
        <v>93</v>
      </c>
      <c r="J48" s="64" t="s">
        <v>176</v>
      </c>
      <c r="K48" s="7" t="s">
        <v>176</v>
      </c>
      <c r="L48" s="28" t="s">
        <v>76</v>
      </c>
      <c r="M48" s="15">
        <v>0.9</v>
      </c>
      <c r="N48" s="44">
        <v>1</v>
      </c>
      <c r="O48" s="16">
        <v>4</v>
      </c>
      <c r="P48" s="16">
        <v>4</v>
      </c>
      <c r="Q48" s="16">
        <v>4</v>
      </c>
      <c r="R48" s="16">
        <v>6</v>
      </c>
      <c r="S48" s="1" t="s">
        <v>85</v>
      </c>
      <c r="T48" s="143">
        <v>248.1</v>
      </c>
      <c r="U48" s="143">
        <v>139.9</v>
      </c>
      <c r="V48" s="143">
        <v>3</v>
      </c>
      <c r="W48" s="46">
        <f>(T48-U48)/T48</f>
        <v>0.43611446997178555</v>
      </c>
      <c r="X48" s="71" t="s">
        <v>76</v>
      </c>
      <c r="Y48" s="110" t="s">
        <v>161</v>
      </c>
      <c r="Z48" s="110" t="s">
        <v>161</v>
      </c>
      <c r="AA48" s="110" t="s">
        <v>161</v>
      </c>
      <c r="AB48" s="110" t="s">
        <v>161</v>
      </c>
      <c r="AC48" s="16">
        <v>22</v>
      </c>
      <c r="AD48" s="16">
        <v>3</v>
      </c>
      <c r="AE48" s="16" t="s">
        <v>541</v>
      </c>
      <c r="AF48" s="1" t="s">
        <v>85</v>
      </c>
      <c r="AG48" s="111">
        <v>0.33</v>
      </c>
      <c r="AH48" s="144" t="s">
        <v>76</v>
      </c>
      <c r="AI48" s="15">
        <v>0.7</v>
      </c>
      <c r="AJ48" s="1" t="s">
        <v>85</v>
      </c>
      <c r="AK48" s="16">
        <v>10</v>
      </c>
      <c r="AL48" s="16">
        <v>4</v>
      </c>
      <c r="AM48" s="16">
        <v>3</v>
      </c>
      <c r="AN48" s="16">
        <v>1</v>
      </c>
      <c r="AO48" s="16" t="s">
        <v>85</v>
      </c>
      <c r="AP48" s="16">
        <v>3</v>
      </c>
      <c r="AQ48" s="16">
        <v>1</v>
      </c>
      <c r="AR48" s="16">
        <v>2</v>
      </c>
      <c r="AS48" s="16">
        <v>1</v>
      </c>
      <c r="AT48" s="16">
        <v>1</v>
      </c>
      <c r="AU48" s="16">
        <v>1</v>
      </c>
      <c r="AV48" s="16">
        <v>1</v>
      </c>
      <c r="AW48" s="16">
        <v>1</v>
      </c>
      <c r="AX48" s="16">
        <v>1</v>
      </c>
      <c r="AY48" s="85" t="e">
        <f>O48+P48+Q48+R48+AC48+AD48+AF48+AK48+AL48+AM48+AN48+AP48+AR48+AS48+AT48+AU48+AV48+AW48+AX48</f>
        <v>#VALUE!</v>
      </c>
      <c r="AZ48" s="46" t="e">
        <f t="shared" ref="AZ48" si="9">AY48/67</f>
        <v>#VALUE!</v>
      </c>
      <c r="BA48" s="85" t="s">
        <v>89</v>
      </c>
      <c r="BB48" s="13" t="s">
        <v>177</v>
      </c>
      <c r="BC48" s="13"/>
      <c r="BD48" s="86" t="str">
        <f>IF(N48&gt;60%,"YES","No")</f>
        <v>YES</v>
      </c>
      <c r="BE48" s="76" t="str">
        <f>C48</f>
        <v>PHMS-New Pediatric Campus - Hospital</v>
      </c>
      <c r="BF48" s="87" t="str">
        <f>H48</f>
        <v xml:space="preserve">Juan Navarro / </v>
      </c>
      <c r="BG48" s="87" t="e">
        <f>IF(AZ48&gt;65%,"No need to contact","need to contact")</f>
        <v>#VALUE!</v>
      </c>
      <c r="BH48" s="65"/>
      <c r="BI48" s="65"/>
      <c r="BJ48" s="65"/>
      <c r="BK48" s="65"/>
      <c r="BL48" s="65"/>
      <c r="BM48" s="65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  <c r="BZ48" s="65"/>
      <c r="CA48" s="65"/>
      <c r="CB48" s="65"/>
      <c r="CC48" s="65"/>
      <c r="CD48" s="65"/>
      <c r="CE48" s="65"/>
      <c r="CF48" s="65"/>
      <c r="CG48" s="65"/>
      <c r="CH48" s="65"/>
      <c r="CI48" s="65"/>
      <c r="CJ48" s="65"/>
      <c r="CK48" s="65"/>
      <c r="CL48" s="65"/>
      <c r="CM48" s="65"/>
    </row>
    <row r="49" spans="1:59" ht="14.5" customHeight="1" x14ac:dyDescent="0.6">
      <c r="A49" s="60">
        <v>2</v>
      </c>
      <c r="B49" s="88">
        <v>147788</v>
      </c>
      <c r="C49" s="108" t="s">
        <v>178</v>
      </c>
      <c r="D49" s="1" t="s">
        <v>85</v>
      </c>
      <c r="E49" s="1"/>
      <c r="F49" s="16" t="s">
        <v>208</v>
      </c>
      <c r="G49" s="16" t="s">
        <v>208</v>
      </c>
      <c r="H49" s="72" t="s">
        <v>179</v>
      </c>
      <c r="I49" s="113"/>
      <c r="K49" s="94"/>
      <c r="L49" s="94"/>
      <c r="M49" s="44">
        <v>0</v>
      </c>
      <c r="N49" s="44">
        <v>0.93</v>
      </c>
      <c r="O49" s="16">
        <v>4</v>
      </c>
      <c r="P49" s="16">
        <v>3</v>
      </c>
      <c r="Q49" s="16">
        <v>4</v>
      </c>
      <c r="R49" s="16">
        <v>5</v>
      </c>
      <c r="S49" s="71" t="s">
        <v>76</v>
      </c>
      <c r="T49" s="143">
        <v>274</v>
      </c>
      <c r="U49" s="143">
        <v>136.63999999999999</v>
      </c>
      <c r="V49" s="143">
        <v>3</v>
      </c>
      <c r="W49" s="46">
        <f t="shared" ref="W49" si="10">(T49-U49)/T49</f>
        <v>0.50131386861313876</v>
      </c>
      <c r="X49" s="71" t="s">
        <v>76</v>
      </c>
      <c r="Y49" s="110" t="s">
        <v>161</v>
      </c>
      <c r="Z49" s="110" t="s">
        <v>161</v>
      </c>
      <c r="AA49" s="110" t="s">
        <v>161</v>
      </c>
      <c r="AB49" s="110" t="s">
        <v>161</v>
      </c>
      <c r="AC49" s="16">
        <v>20</v>
      </c>
      <c r="AD49" s="16">
        <v>3</v>
      </c>
      <c r="AE49" s="16" t="s">
        <v>542</v>
      </c>
      <c r="AF49" s="16" t="s">
        <v>76</v>
      </c>
      <c r="AG49" s="111">
        <v>0.24</v>
      </c>
      <c r="AH49" s="144" t="s">
        <v>76</v>
      </c>
      <c r="AI49" s="111">
        <v>0.11</v>
      </c>
      <c r="AJ49" s="71" t="s">
        <v>76</v>
      </c>
      <c r="AK49" s="16">
        <v>10</v>
      </c>
      <c r="AL49" s="16">
        <v>2</v>
      </c>
      <c r="AM49" s="16">
        <v>1</v>
      </c>
      <c r="AN49" s="16">
        <v>1</v>
      </c>
      <c r="AO49" s="7" t="s">
        <v>543</v>
      </c>
      <c r="AP49" s="16">
        <v>3</v>
      </c>
      <c r="AQ49" s="16">
        <v>1</v>
      </c>
      <c r="AR49" s="16">
        <v>1</v>
      </c>
      <c r="AS49" s="16">
        <v>1</v>
      </c>
      <c r="AT49" s="16">
        <v>1</v>
      </c>
      <c r="AU49" s="16">
        <v>1</v>
      </c>
      <c r="AV49" s="16">
        <v>1</v>
      </c>
      <c r="AW49" s="16">
        <v>1</v>
      </c>
      <c r="AX49" s="16">
        <v>1</v>
      </c>
      <c r="AY49" s="85" t="e">
        <f>O49+P49+Q49+R49+AC49+AD49+AF49+AK49+AL49+AM49+AN49+AP49+AR49+AS49+AT49+AU49+AV49+AW49+AX49</f>
        <v>#VALUE!</v>
      </c>
      <c r="AZ49" s="46" t="e">
        <f t="shared" ref="AZ49" si="11">AY49/67</f>
        <v>#VALUE!</v>
      </c>
      <c r="BA49" s="85" t="s">
        <v>180</v>
      </c>
      <c r="BB49" s="13" t="s">
        <v>181</v>
      </c>
      <c r="BC49" s="13"/>
      <c r="BD49" s="86" t="str">
        <f>IF(N49&gt;60%,"YES","No")</f>
        <v>YES</v>
      </c>
      <c r="BE49" s="76" t="str">
        <f>C49</f>
        <v>THP Plano Campus Bed Tower - This is the last report</v>
      </c>
      <c r="BF49" s="76" t="str">
        <f>H49</f>
        <v>Wes Bowen / Jen Parlett</v>
      </c>
      <c r="BG49" s="76" t="e">
        <f t="shared" ref="BG49:BG154" si="12">IF(AZ49&gt;65%,"No need to contact","need to contact")</f>
        <v>#VALUE!</v>
      </c>
    </row>
    <row r="50" spans="1:59" ht="15" customHeight="1" x14ac:dyDescent="0.6">
      <c r="A50" s="84">
        <v>4</v>
      </c>
      <c r="B50" s="88">
        <v>147907</v>
      </c>
      <c r="C50" s="108" t="s">
        <v>185</v>
      </c>
      <c r="D50" s="1" t="s">
        <v>85</v>
      </c>
      <c r="F50" s="7" t="s">
        <v>80</v>
      </c>
      <c r="H50" s="29" t="s">
        <v>182</v>
      </c>
      <c r="N50" s="53">
        <v>0</v>
      </c>
      <c r="O50" s="16"/>
      <c r="P50" s="16"/>
      <c r="Q50" s="16"/>
      <c r="R50" s="16"/>
      <c r="S50" s="71"/>
      <c r="T50" s="71"/>
      <c r="U50" s="71"/>
      <c r="V50" s="16"/>
      <c r="W50" s="16"/>
      <c r="X50" s="71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BD50" s="86" t="e">
        <f>IF(#REF!&gt;60%,"YES","No")</f>
        <v>#REF!</v>
      </c>
    </row>
    <row r="51" spans="1:59" ht="15.6" x14ac:dyDescent="0.6">
      <c r="A51" s="84">
        <v>5</v>
      </c>
      <c r="B51" s="84">
        <v>147823</v>
      </c>
      <c r="C51" s="84" t="s">
        <v>497</v>
      </c>
      <c r="D51" s="1" t="s">
        <v>85</v>
      </c>
      <c r="E51" s="72" t="s">
        <v>186</v>
      </c>
      <c r="F51" s="28" t="s">
        <v>1</v>
      </c>
      <c r="G51" s="72"/>
      <c r="H51" s="29" t="s">
        <v>182</v>
      </c>
      <c r="I51" s="71"/>
      <c r="J51" s="114"/>
      <c r="K51" s="114"/>
      <c r="L51" s="114"/>
      <c r="M51" s="47"/>
      <c r="N51" s="47">
        <v>0.77</v>
      </c>
      <c r="O51" s="16">
        <v>4</v>
      </c>
      <c r="P51" s="16">
        <v>2</v>
      </c>
      <c r="Q51" s="16">
        <v>0</v>
      </c>
      <c r="R51" s="16">
        <v>4</v>
      </c>
      <c r="S51" s="16" t="s">
        <v>76</v>
      </c>
      <c r="T51" s="16">
        <v>296</v>
      </c>
      <c r="U51" s="16">
        <v>162.80000000000001</v>
      </c>
      <c r="V51" s="143">
        <v>2</v>
      </c>
      <c r="W51" s="46">
        <f>(T51-U51)/T51</f>
        <v>0.44999999999999996</v>
      </c>
      <c r="X51" s="16" t="s">
        <v>76</v>
      </c>
      <c r="Y51" s="16" t="s">
        <v>88</v>
      </c>
      <c r="Z51" s="16" t="s">
        <v>88</v>
      </c>
      <c r="AA51" s="16" t="s">
        <v>88</v>
      </c>
      <c r="AB51" s="16" t="s">
        <v>88</v>
      </c>
      <c r="AC51" s="16">
        <v>20</v>
      </c>
      <c r="AD51" s="16">
        <v>0</v>
      </c>
      <c r="AE51" s="16" t="s">
        <v>539</v>
      </c>
      <c r="AF51" s="16" t="s">
        <v>76</v>
      </c>
      <c r="AG51" s="46" t="s">
        <v>114</v>
      </c>
      <c r="AH51" s="46" t="s">
        <v>114</v>
      </c>
      <c r="AI51" s="46" t="s">
        <v>114</v>
      </c>
      <c r="AJ51" s="46" t="s">
        <v>114</v>
      </c>
      <c r="AK51" s="16">
        <v>4</v>
      </c>
      <c r="AL51" s="16">
        <v>2</v>
      </c>
      <c r="AM51" s="16">
        <v>1</v>
      </c>
      <c r="AN51" s="16">
        <v>1</v>
      </c>
      <c r="AO51" s="16"/>
      <c r="AP51" s="16">
        <v>3</v>
      </c>
      <c r="AQ51" s="16"/>
      <c r="AR51" s="16">
        <v>1</v>
      </c>
      <c r="AS51" s="16">
        <v>0</v>
      </c>
      <c r="AT51" s="16">
        <v>1</v>
      </c>
      <c r="AU51" s="16">
        <v>0</v>
      </c>
      <c r="AV51" s="16">
        <v>1</v>
      </c>
      <c r="AW51" s="16">
        <v>0</v>
      </c>
      <c r="AX51" s="16">
        <v>1</v>
      </c>
      <c r="AY51" s="16"/>
      <c r="AZ51" s="16"/>
      <c r="BA51" s="16"/>
      <c r="BB51" s="16"/>
      <c r="BC51" s="16"/>
      <c r="BD51" s="86" t="str">
        <f t="shared" ref="BD51" si="13">IF(N51&gt;60%,"YES","No")</f>
        <v>YES</v>
      </c>
      <c r="BE51" s="76" t="str">
        <f>C51</f>
        <v>Tenet Health - Buckeye Hospital   This is the last report - Done</v>
      </c>
      <c r="BF51" s="87" t="str">
        <f>H51</f>
        <v>Wes Bowen</v>
      </c>
      <c r="BG51" s="87" t="str">
        <f t="shared" ref="BG51" si="14">IF(AZ51&gt;65%,"No need to contact","need to contact")</f>
        <v>need to contact</v>
      </c>
    </row>
    <row r="52" spans="1:59" ht="15.6" x14ac:dyDescent="0.6">
      <c r="A52" s="84">
        <v>6</v>
      </c>
      <c r="B52" s="89">
        <v>147791</v>
      </c>
      <c r="C52" s="89" t="s">
        <v>187</v>
      </c>
      <c r="D52" s="1" t="s">
        <v>85</v>
      </c>
      <c r="E52" s="72" t="s">
        <v>188</v>
      </c>
      <c r="F52" s="71" t="s">
        <v>80</v>
      </c>
      <c r="G52" s="72"/>
      <c r="H52" s="72" t="s">
        <v>189</v>
      </c>
      <c r="I52" s="71"/>
      <c r="J52" s="114"/>
      <c r="K52" s="114"/>
      <c r="L52" s="114"/>
      <c r="M52" s="47"/>
      <c r="N52" s="47">
        <v>0.85</v>
      </c>
      <c r="O52" s="16">
        <v>3</v>
      </c>
      <c r="P52" s="16">
        <v>4</v>
      </c>
      <c r="Q52" s="16">
        <v>4</v>
      </c>
      <c r="R52" s="16">
        <v>5</v>
      </c>
      <c r="S52" s="175" t="s">
        <v>76</v>
      </c>
      <c r="T52" s="175">
        <v>226</v>
      </c>
      <c r="U52" s="175">
        <v>113</v>
      </c>
      <c r="V52" s="176">
        <v>2</v>
      </c>
      <c r="W52" s="167">
        <f>(T52-U52)/T52</f>
        <v>0.5</v>
      </c>
      <c r="X52" s="175" t="s">
        <v>76</v>
      </c>
      <c r="Y52" s="162" t="s">
        <v>88</v>
      </c>
      <c r="Z52" s="162" t="s">
        <v>88</v>
      </c>
      <c r="AA52" s="162" t="s">
        <v>88</v>
      </c>
      <c r="AB52" s="162" t="s">
        <v>88</v>
      </c>
      <c r="AC52" s="162">
        <v>0</v>
      </c>
      <c r="AD52" s="16">
        <v>0</v>
      </c>
      <c r="AE52" s="16" t="s">
        <v>540</v>
      </c>
      <c r="AF52" s="16" t="s">
        <v>76</v>
      </c>
      <c r="AG52" s="162" t="s">
        <v>76</v>
      </c>
      <c r="AH52" s="162" t="s">
        <v>76</v>
      </c>
      <c r="AI52" s="162" t="s">
        <v>76</v>
      </c>
      <c r="AJ52" s="162" t="s">
        <v>76</v>
      </c>
      <c r="AK52" s="162" t="s">
        <v>76</v>
      </c>
      <c r="AL52" s="16">
        <v>1</v>
      </c>
      <c r="AM52" s="16">
        <v>1</v>
      </c>
      <c r="AN52" s="16">
        <v>1</v>
      </c>
      <c r="AO52" s="7" t="s">
        <v>85</v>
      </c>
      <c r="AP52" s="16">
        <v>2</v>
      </c>
      <c r="AQ52" s="16">
        <v>1</v>
      </c>
      <c r="AR52" s="16">
        <v>1</v>
      </c>
      <c r="AS52" s="16">
        <v>1</v>
      </c>
      <c r="AT52" s="16">
        <v>1</v>
      </c>
      <c r="AU52" s="16">
        <v>1</v>
      </c>
      <c r="AV52" s="16">
        <v>1</v>
      </c>
      <c r="AW52" s="16">
        <v>1</v>
      </c>
      <c r="AX52" s="16">
        <v>1</v>
      </c>
      <c r="AY52" s="16">
        <v>0</v>
      </c>
      <c r="AZ52" s="16">
        <v>0</v>
      </c>
      <c r="BA52" s="16">
        <v>0</v>
      </c>
      <c r="BB52" s="16"/>
      <c r="BC52" s="16"/>
      <c r="BD52" s="86" t="str">
        <f t="shared" ref="BD52:BD56" si="15">IF(N52&gt;60%,"YES","No")</f>
        <v>YES</v>
      </c>
      <c r="BE52" s="76" t="str">
        <f>C52</f>
        <v>Bon Secours St Marys Expansion 2024  This is the last report</v>
      </c>
      <c r="BF52" s="76" t="str">
        <f>H52</f>
        <v>Cory / Katherine</v>
      </c>
      <c r="BG52" s="76" t="str">
        <f t="shared" ref="BG52:BG55" si="16">IF(AZ52&gt;65%,"No need to contact","need to contact")</f>
        <v>need to contact</v>
      </c>
    </row>
    <row r="53" spans="1:59" ht="15.6" x14ac:dyDescent="0.6">
      <c r="A53" s="84">
        <v>7</v>
      </c>
      <c r="B53" s="89">
        <v>147848</v>
      </c>
      <c r="C53" s="89" t="s">
        <v>190</v>
      </c>
      <c r="D53" s="1" t="s">
        <v>85</v>
      </c>
      <c r="E53" s="72"/>
      <c r="F53" s="71" t="s">
        <v>80</v>
      </c>
      <c r="G53" s="72"/>
      <c r="H53" s="29" t="s">
        <v>191</v>
      </c>
      <c r="I53" s="71"/>
      <c r="J53" s="114"/>
      <c r="K53" s="114"/>
      <c r="L53" s="114"/>
      <c r="M53" s="47"/>
      <c r="N53" s="47">
        <v>0.9</v>
      </c>
      <c r="O53" s="16">
        <v>3</v>
      </c>
      <c r="P53" s="16">
        <v>3</v>
      </c>
      <c r="Q53" s="16">
        <v>4</v>
      </c>
      <c r="R53" s="16">
        <v>6</v>
      </c>
      <c r="S53" s="71" t="s">
        <v>88</v>
      </c>
      <c r="T53" s="71" t="s">
        <v>88</v>
      </c>
      <c r="U53" s="71" t="s">
        <v>88</v>
      </c>
      <c r="V53" s="143"/>
      <c r="W53" s="16" t="s">
        <v>88</v>
      </c>
      <c r="X53" s="71" t="s">
        <v>88</v>
      </c>
      <c r="Y53" s="16" t="s">
        <v>88</v>
      </c>
      <c r="Z53" s="16" t="s">
        <v>88</v>
      </c>
      <c r="AA53" s="16" t="s">
        <v>88</v>
      </c>
      <c r="AB53" s="16" t="s">
        <v>88</v>
      </c>
      <c r="AC53" s="16">
        <v>7</v>
      </c>
      <c r="AD53" s="16">
        <v>0</v>
      </c>
      <c r="AE53" s="16" t="s">
        <v>540</v>
      </c>
      <c r="AF53" s="16" t="s">
        <v>76</v>
      </c>
      <c r="AG53" s="162" t="s">
        <v>76</v>
      </c>
      <c r="AH53" s="16" t="s">
        <v>76</v>
      </c>
      <c r="AI53" s="16" t="s">
        <v>76</v>
      </c>
      <c r="AJ53" s="16" t="s">
        <v>76</v>
      </c>
      <c r="AK53" s="16" t="s">
        <v>76</v>
      </c>
      <c r="AL53" s="16">
        <v>1</v>
      </c>
      <c r="AM53" s="16">
        <v>1</v>
      </c>
      <c r="AN53" s="16">
        <v>1</v>
      </c>
      <c r="AO53" s="7" t="s">
        <v>85</v>
      </c>
      <c r="AP53" s="16">
        <v>2</v>
      </c>
      <c r="AQ53" s="16">
        <v>1</v>
      </c>
      <c r="AR53" s="16">
        <v>1</v>
      </c>
      <c r="AS53" s="16">
        <v>1</v>
      </c>
      <c r="AT53" s="16">
        <v>1</v>
      </c>
      <c r="AU53" s="16">
        <v>1</v>
      </c>
      <c r="AV53" s="16">
        <v>1</v>
      </c>
      <c r="AW53" s="16">
        <v>1</v>
      </c>
      <c r="AX53" s="16">
        <v>1</v>
      </c>
      <c r="AY53" s="7"/>
      <c r="AZ53" s="7"/>
      <c r="BA53" s="7"/>
      <c r="BB53" s="116"/>
      <c r="BC53" s="116"/>
      <c r="BD53" s="86" t="str">
        <f>IF(N53&gt;60%,"YES","No")</f>
        <v>YES</v>
      </c>
      <c r="BE53" s="76" t="str">
        <f>C53</f>
        <v>Our Lady of the Lake ED Reno   This is the last report</v>
      </c>
      <c r="BF53" s="87" t="str">
        <f>H53</f>
        <v>Cory Griffin / Katherine Busch</v>
      </c>
      <c r="BG53" s="87" t="str">
        <f>IF(AZ53&gt;65%,"No need to contact","need to contact")</f>
        <v>need to contact</v>
      </c>
    </row>
    <row r="54" spans="1:59" ht="15.6" x14ac:dyDescent="0.6">
      <c r="A54" s="84">
        <v>9</v>
      </c>
      <c r="B54" s="89">
        <v>147821</v>
      </c>
      <c r="C54" s="89" t="s">
        <v>192</v>
      </c>
      <c r="D54" s="1" t="s">
        <v>85</v>
      </c>
      <c r="E54" s="72" t="s">
        <v>193</v>
      </c>
      <c r="F54" s="16" t="s">
        <v>80</v>
      </c>
      <c r="G54" s="72"/>
      <c r="H54" s="29" t="s">
        <v>194</v>
      </c>
      <c r="I54" s="71"/>
      <c r="J54" s="114"/>
      <c r="K54" s="114"/>
      <c r="L54" s="114"/>
      <c r="M54" s="47"/>
      <c r="N54" s="47">
        <v>0.64</v>
      </c>
      <c r="O54" s="16">
        <v>4</v>
      </c>
      <c r="P54" s="16">
        <v>1</v>
      </c>
      <c r="Q54" s="16">
        <v>3</v>
      </c>
      <c r="R54" s="16">
        <v>0</v>
      </c>
      <c r="S54" s="71" t="s">
        <v>76</v>
      </c>
      <c r="T54" s="71">
        <v>266</v>
      </c>
      <c r="U54" s="71">
        <v>146.30000000000001</v>
      </c>
      <c r="V54" s="143">
        <v>2</v>
      </c>
      <c r="W54" s="46">
        <f>(T54-U54)/T54</f>
        <v>0.44999999999999996</v>
      </c>
      <c r="X54" s="71" t="s">
        <v>76</v>
      </c>
      <c r="Y54" s="16" t="s">
        <v>88</v>
      </c>
      <c r="Z54" s="16" t="s">
        <v>88</v>
      </c>
      <c r="AA54" s="16" t="s">
        <v>88</v>
      </c>
      <c r="AB54" s="16" t="s">
        <v>88</v>
      </c>
      <c r="AC54" s="16">
        <v>19</v>
      </c>
      <c r="AD54" s="16">
        <v>0</v>
      </c>
      <c r="AE54" s="16" t="s">
        <v>540</v>
      </c>
      <c r="AF54" s="16" t="s">
        <v>76</v>
      </c>
      <c r="AG54" s="47">
        <v>0.24</v>
      </c>
      <c r="AH54" s="16" t="s">
        <v>76</v>
      </c>
      <c r="AI54" s="16" t="s">
        <v>76</v>
      </c>
      <c r="AJ54" s="16" t="s">
        <v>76</v>
      </c>
      <c r="AK54" s="16">
        <v>6</v>
      </c>
      <c r="AL54" s="16">
        <v>1</v>
      </c>
      <c r="AM54" s="16">
        <v>1</v>
      </c>
      <c r="AN54" s="16">
        <v>1</v>
      </c>
      <c r="AO54" s="7" t="s">
        <v>85</v>
      </c>
      <c r="AP54" s="16">
        <v>3</v>
      </c>
      <c r="AQ54" s="16"/>
      <c r="AR54" s="16">
        <v>2</v>
      </c>
      <c r="AS54" s="16">
        <v>1</v>
      </c>
      <c r="AT54" s="16">
        <v>1</v>
      </c>
      <c r="AU54" s="16">
        <v>0</v>
      </c>
      <c r="AV54" s="16">
        <v>1</v>
      </c>
      <c r="AW54" s="16">
        <v>0</v>
      </c>
      <c r="AX54" s="16">
        <v>1</v>
      </c>
      <c r="AY54" s="85" t="e">
        <f>O54+P54+Q54+R54+AC54+AD54+AF54+AK54+AL54+AM54+AN54+AP54+AR54+AS54+AT54+AU54+AV54+AW54+AX54</f>
        <v>#VALUE!</v>
      </c>
      <c r="AZ54" s="46" t="e">
        <f t="shared" ref="AZ54:AZ55" si="17">AY54/67</f>
        <v>#VALUE!</v>
      </c>
      <c r="BA54" s="85" t="s">
        <v>89</v>
      </c>
      <c r="BB54" s="116"/>
      <c r="BC54" s="116"/>
      <c r="BD54" s="86" t="str">
        <f t="shared" si="15"/>
        <v>YES</v>
      </c>
      <c r="BE54" s="76" t="str">
        <f>C54</f>
        <v>Texas Health Midlothian IHC  - This is the last report</v>
      </c>
      <c r="BF54" s="87" t="str">
        <f>H54</f>
        <v>Anson/ Zach Spero</v>
      </c>
      <c r="BG54" s="87" t="e">
        <f t="shared" si="16"/>
        <v>#VALUE!</v>
      </c>
    </row>
    <row r="55" spans="1:59" ht="15.6" x14ac:dyDescent="0.6">
      <c r="A55" s="84">
        <v>10</v>
      </c>
      <c r="B55" s="89">
        <v>147840</v>
      </c>
      <c r="C55" s="89" t="s">
        <v>195</v>
      </c>
      <c r="D55" s="1" t="s">
        <v>85</v>
      </c>
      <c r="E55" s="72"/>
      <c r="F55" s="71" t="s">
        <v>80</v>
      </c>
      <c r="G55" s="72"/>
      <c r="H55" s="29" t="s">
        <v>194</v>
      </c>
      <c r="I55" s="71"/>
      <c r="J55" s="114"/>
      <c r="K55" s="114"/>
      <c r="L55" s="114"/>
      <c r="M55" s="47"/>
      <c r="N55" s="47">
        <v>0.44</v>
      </c>
      <c r="O55" s="16">
        <v>4</v>
      </c>
      <c r="P55" s="16">
        <v>0</v>
      </c>
      <c r="Q55" s="16">
        <v>1</v>
      </c>
      <c r="R55" s="16">
        <v>4</v>
      </c>
      <c r="S55" s="71" t="s">
        <v>76</v>
      </c>
      <c r="T55" s="143">
        <v>296</v>
      </c>
      <c r="U55" s="143">
        <v>204.24</v>
      </c>
      <c r="V55" s="143">
        <v>1</v>
      </c>
      <c r="W55" s="46">
        <f t="shared" ref="W55" si="18">(T55-U55)/T55</f>
        <v>0.30999999999999994</v>
      </c>
      <c r="X55" s="71" t="s">
        <v>76</v>
      </c>
      <c r="Y55" s="110" t="s">
        <v>161</v>
      </c>
      <c r="Z55" s="110" t="s">
        <v>161</v>
      </c>
      <c r="AA55" s="110" t="s">
        <v>161</v>
      </c>
      <c r="AB55" s="110" t="s">
        <v>161</v>
      </c>
      <c r="AC55" s="16">
        <v>16</v>
      </c>
      <c r="AD55" s="16">
        <v>0</v>
      </c>
      <c r="AE55" s="16" t="s">
        <v>540</v>
      </c>
      <c r="AF55" s="16" t="s">
        <v>76</v>
      </c>
      <c r="AG55" s="111">
        <v>0.22</v>
      </c>
      <c r="AH55" s="16" t="s">
        <v>76</v>
      </c>
      <c r="AI55" s="111">
        <v>0.56000000000000005</v>
      </c>
      <c r="AJ55" s="1" t="s">
        <v>85</v>
      </c>
      <c r="AK55" s="16">
        <v>10</v>
      </c>
      <c r="AL55" s="16">
        <v>1</v>
      </c>
      <c r="AM55" s="16">
        <v>0</v>
      </c>
      <c r="AN55" s="16">
        <v>0</v>
      </c>
      <c r="AO55" s="16" t="s">
        <v>76</v>
      </c>
      <c r="AP55" s="16">
        <v>1</v>
      </c>
      <c r="AQ55" s="16"/>
      <c r="AR55" s="16">
        <v>0</v>
      </c>
      <c r="AS55" s="16">
        <v>1</v>
      </c>
      <c r="AT55" s="16">
        <v>1</v>
      </c>
      <c r="AU55" s="16">
        <v>0</v>
      </c>
      <c r="AV55" s="16">
        <v>0</v>
      </c>
      <c r="AW55" s="16">
        <v>1</v>
      </c>
      <c r="AX55" s="16">
        <v>1</v>
      </c>
      <c r="AY55" s="85" t="e">
        <f>O55+P55+Q55+R55+AC55+AD55+AF55+AK55+AL55+AM55+AN55+AP55+AR55+AS55+AT55+AU55+AV55+AW55+AX55</f>
        <v>#VALUE!</v>
      </c>
      <c r="AZ55" s="46" t="e">
        <f t="shared" si="17"/>
        <v>#VALUE!</v>
      </c>
      <c r="BA55" s="85" t="s">
        <v>89</v>
      </c>
      <c r="BB55" s="116"/>
      <c r="BC55" s="116"/>
      <c r="BD55" s="86" t="str">
        <f t="shared" si="15"/>
        <v>No</v>
      </c>
      <c r="BE55" s="76" t="str">
        <f>C55</f>
        <v>Little Rock Rehab Hospital  - This is the last report</v>
      </c>
      <c r="BF55" s="87" t="str">
        <f>H55</f>
        <v>Anson/ Zach Spero</v>
      </c>
      <c r="BG55" s="87" t="e">
        <f t="shared" si="16"/>
        <v>#VALUE!</v>
      </c>
    </row>
    <row r="56" spans="1:59" ht="15.6" x14ac:dyDescent="0.6">
      <c r="A56" s="84">
        <v>11</v>
      </c>
      <c r="B56" s="89">
        <v>147759</v>
      </c>
      <c r="C56" s="89" t="s">
        <v>196</v>
      </c>
      <c r="D56" s="1" t="s">
        <v>85</v>
      </c>
      <c r="E56" s="72"/>
      <c r="F56" s="71" t="s">
        <v>93</v>
      </c>
      <c r="G56" s="72"/>
      <c r="H56" s="29" t="s">
        <v>197</v>
      </c>
      <c r="I56" s="71"/>
      <c r="J56" s="114"/>
      <c r="K56" s="114"/>
      <c r="L56" s="114"/>
      <c r="M56" s="47"/>
      <c r="N56" s="47">
        <v>0.47</v>
      </c>
      <c r="O56" s="16">
        <v>4</v>
      </c>
      <c r="P56" s="16">
        <v>0</v>
      </c>
      <c r="Q56" s="16">
        <v>2</v>
      </c>
      <c r="R56" s="16">
        <v>0</v>
      </c>
      <c r="S56" s="71" t="s">
        <v>76</v>
      </c>
      <c r="T56" s="143">
        <v>398.8</v>
      </c>
      <c r="U56" s="143">
        <v>199.4</v>
      </c>
      <c r="V56" s="143">
        <v>1</v>
      </c>
      <c r="W56" s="46">
        <f>(T56-U56)/T56</f>
        <v>0.5</v>
      </c>
      <c r="X56" s="71" t="s">
        <v>76</v>
      </c>
      <c r="Y56" s="110" t="s">
        <v>161</v>
      </c>
      <c r="Z56" s="110" t="s">
        <v>161</v>
      </c>
      <c r="AA56" s="110" t="s">
        <v>161</v>
      </c>
      <c r="AB56" s="110" t="s">
        <v>161</v>
      </c>
      <c r="AC56" s="16">
        <v>16</v>
      </c>
      <c r="AD56" s="16">
        <v>0</v>
      </c>
      <c r="AE56" s="16" t="s">
        <v>540</v>
      </c>
      <c r="AF56" s="16" t="s">
        <v>76</v>
      </c>
      <c r="AG56" s="111">
        <v>0.23</v>
      </c>
      <c r="AH56" s="16" t="s">
        <v>76</v>
      </c>
      <c r="AI56" s="16" t="s">
        <v>76</v>
      </c>
      <c r="AJ56" s="16" t="s">
        <v>76</v>
      </c>
      <c r="AK56" s="16">
        <v>6</v>
      </c>
      <c r="AL56" s="16">
        <v>0</v>
      </c>
      <c r="AM56" s="16">
        <v>0</v>
      </c>
      <c r="AN56" s="16">
        <v>0</v>
      </c>
      <c r="AO56" s="16" t="s">
        <v>85</v>
      </c>
      <c r="AP56" s="16">
        <v>3</v>
      </c>
      <c r="AQ56" s="16"/>
      <c r="AR56" s="16">
        <v>0</v>
      </c>
      <c r="AS56" s="16">
        <v>0</v>
      </c>
      <c r="AT56" s="16">
        <v>0</v>
      </c>
      <c r="AU56" s="16">
        <v>0</v>
      </c>
      <c r="AV56" s="16">
        <v>0</v>
      </c>
      <c r="AW56" s="16">
        <v>0</v>
      </c>
      <c r="AX56" s="16">
        <v>1</v>
      </c>
      <c r="AY56" s="85">
        <v>2</v>
      </c>
      <c r="AZ56" s="46">
        <v>2.9850746268656716E-2</v>
      </c>
      <c r="BA56" s="85" t="s">
        <v>89</v>
      </c>
      <c r="BB56" s="116"/>
      <c r="BC56" s="116"/>
      <c r="BD56" s="86" t="str">
        <f t="shared" si="15"/>
        <v>No</v>
      </c>
      <c r="BE56" s="76" t="s">
        <v>198</v>
      </c>
      <c r="BF56" s="87" t="s">
        <v>197</v>
      </c>
      <c r="BG56" s="87" t="s">
        <v>199</v>
      </c>
    </row>
    <row r="57" spans="1:59" ht="15.6" x14ac:dyDescent="0.6">
      <c r="A57" s="84">
        <v>13</v>
      </c>
      <c r="B57" s="89">
        <v>147794</v>
      </c>
      <c r="C57" s="89" t="s">
        <v>202</v>
      </c>
      <c r="D57" s="1" t="s">
        <v>85</v>
      </c>
      <c r="E57" s="72"/>
      <c r="F57" s="28" t="s">
        <v>1</v>
      </c>
      <c r="G57" s="28" t="s">
        <v>1</v>
      </c>
      <c r="H57" s="29" t="s">
        <v>203</v>
      </c>
      <c r="I57" s="71"/>
      <c r="J57" s="114"/>
      <c r="K57" s="114"/>
      <c r="L57" s="114"/>
      <c r="M57" s="47"/>
      <c r="N57" s="47">
        <v>0</v>
      </c>
      <c r="O57" s="16"/>
      <c r="P57" s="16"/>
      <c r="Q57" s="16"/>
      <c r="R57" s="16"/>
      <c r="S57" s="16"/>
      <c r="T57" s="16"/>
      <c r="U57" s="16"/>
      <c r="V57" s="143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7"/>
      <c r="AZ57" s="7"/>
      <c r="BA57" s="7"/>
      <c r="BB57" s="116"/>
      <c r="BC57" s="116"/>
      <c r="BD57" s="86" t="s">
        <v>113</v>
      </c>
      <c r="BE57" s="76" t="s">
        <v>204</v>
      </c>
      <c r="BF57" s="87" t="s">
        <v>203</v>
      </c>
      <c r="BG57" s="87" t="s">
        <v>199</v>
      </c>
    </row>
    <row r="58" spans="1:59" ht="15.6" x14ac:dyDescent="0.6">
      <c r="A58" s="84">
        <v>14</v>
      </c>
      <c r="B58" s="89">
        <v>147826</v>
      </c>
      <c r="C58" s="89" t="s">
        <v>544</v>
      </c>
      <c r="D58" s="1" t="s">
        <v>85</v>
      </c>
      <c r="E58" s="72"/>
      <c r="F58" s="28" t="s">
        <v>1</v>
      </c>
      <c r="G58" s="72"/>
      <c r="H58" s="29" t="s">
        <v>206</v>
      </c>
      <c r="I58" s="29" t="s">
        <v>206</v>
      </c>
      <c r="J58" s="29" t="s">
        <v>206</v>
      </c>
      <c r="K58" s="29" t="s">
        <v>206</v>
      </c>
      <c r="L58" s="29" t="s">
        <v>206</v>
      </c>
      <c r="M58" s="29" t="s">
        <v>206</v>
      </c>
      <c r="N58" s="53">
        <v>0</v>
      </c>
      <c r="O58" s="16"/>
      <c r="P58" s="16"/>
      <c r="Q58" s="16"/>
      <c r="R58" s="16"/>
      <c r="S58" s="16"/>
      <c r="T58" s="16"/>
      <c r="U58" s="16"/>
      <c r="V58" s="143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7"/>
      <c r="AZ58" s="7"/>
      <c r="BA58" s="7"/>
      <c r="BB58" s="116"/>
      <c r="BC58" s="116"/>
      <c r="BD58" s="86" t="s">
        <v>113</v>
      </c>
      <c r="BE58" s="76" t="s">
        <v>205</v>
      </c>
      <c r="BF58" s="87" t="s">
        <v>206</v>
      </c>
      <c r="BG58" s="87" t="s">
        <v>199</v>
      </c>
    </row>
    <row r="59" spans="1:59" ht="15" customHeight="1" x14ac:dyDescent="0.6">
      <c r="A59" s="84">
        <v>15</v>
      </c>
      <c r="B59" s="88">
        <v>147871</v>
      </c>
      <c r="C59" s="90" t="s">
        <v>207</v>
      </c>
      <c r="D59" s="1" t="s">
        <v>85</v>
      </c>
      <c r="F59" s="7" t="s">
        <v>208</v>
      </c>
      <c r="H59" s="29" t="s">
        <v>203</v>
      </c>
      <c r="N59" s="53">
        <v>0.06</v>
      </c>
      <c r="O59" s="16">
        <v>3</v>
      </c>
      <c r="P59" s="16"/>
      <c r="Q59" s="16"/>
      <c r="R59" s="16"/>
      <c r="S59" s="16"/>
      <c r="T59" s="16"/>
      <c r="U59" s="16"/>
      <c r="V59" s="143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BD59" s="86" t="s">
        <v>113</v>
      </c>
    </row>
    <row r="60" spans="1:59" ht="15" customHeight="1" x14ac:dyDescent="0.6">
      <c r="A60" s="84">
        <v>16</v>
      </c>
      <c r="B60" s="88">
        <v>147876</v>
      </c>
      <c r="C60" s="90" t="s">
        <v>209</v>
      </c>
      <c r="D60" s="1" t="s">
        <v>85</v>
      </c>
      <c r="F60" s="7" t="s">
        <v>80</v>
      </c>
      <c r="H60" s="29" t="s">
        <v>203</v>
      </c>
      <c r="N60" s="53">
        <v>0.08</v>
      </c>
      <c r="O60" s="16">
        <v>2</v>
      </c>
      <c r="P60" s="16">
        <v>2</v>
      </c>
      <c r="Q60" s="16"/>
      <c r="R60" s="16"/>
      <c r="S60" s="16"/>
      <c r="T60" s="16"/>
      <c r="U60" s="16"/>
      <c r="V60" s="143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BD60" s="86" t="s">
        <v>113</v>
      </c>
    </row>
    <row r="61" spans="1:59" ht="15" customHeight="1" x14ac:dyDescent="0.6">
      <c r="A61" s="84">
        <v>17</v>
      </c>
      <c r="B61" s="88">
        <v>147875</v>
      </c>
      <c r="C61" s="90" t="s">
        <v>210</v>
      </c>
      <c r="D61" s="1" t="s">
        <v>85</v>
      </c>
      <c r="F61" s="28" t="s">
        <v>1</v>
      </c>
      <c r="H61" s="29" t="s">
        <v>203</v>
      </c>
      <c r="N61" s="53">
        <v>0</v>
      </c>
      <c r="O61" s="16"/>
      <c r="P61" s="16"/>
      <c r="Q61" s="16"/>
      <c r="R61" s="16"/>
      <c r="S61" s="16"/>
      <c r="T61" s="16"/>
      <c r="U61" s="16"/>
      <c r="V61" s="143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BD61" s="86" t="s">
        <v>113</v>
      </c>
    </row>
    <row r="62" spans="1:59" ht="15.6" x14ac:dyDescent="0.6">
      <c r="A62" s="84">
        <v>18</v>
      </c>
      <c r="B62" s="89">
        <v>147826</v>
      </c>
      <c r="C62" s="89" t="s">
        <v>205</v>
      </c>
      <c r="D62" s="1" t="s">
        <v>85</v>
      </c>
      <c r="E62" s="72"/>
      <c r="F62" s="28" t="s">
        <v>1</v>
      </c>
      <c r="H62" s="29" t="s">
        <v>203</v>
      </c>
      <c r="I62" s="71"/>
      <c r="J62" s="114"/>
      <c r="K62" s="114"/>
      <c r="L62" s="114"/>
      <c r="M62" s="47"/>
      <c r="N62" s="53">
        <v>0</v>
      </c>
      <c r="O62" s="16"/>
      <c r="P62" s="16"/>
      <c r="Q62" s="16"/>
      <c r="R62" s="16"/>
      <c r="S62" s="16"/>
      <c r="T62" s="16"/>
      <c r="U62" s="16"/>
      <c r="V62" s="143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7"/>
      <c r="AZ62" s="7"/>
      <c r="BA62" s="7"/>
      <c r="BB62" s="116"/>
      <c r="BC62" s="116"/>
      <c r="BD62" s="86"/>
      <c r="BF62" s="87"/>
      <c r="BG62" s="87"/>
    </row>
    <row r="63" spans="1:59" ht="15" customHeight="1" x14ac:dyDescent="0.6">
      <c r="A63" s="84">
        <v>19</v>
      </c>
      <c r="B63" s="88">
        <v>147804.00200000001</v>
      </c>
      <c r="C63" s="108" t="s">
        <v>211</v>
      </c>
      <c r="D63" s="1" t="s">
        <v>85</v>
      </c>
      <c r="F63" s="7" t="s">
        <v>91</v>
      </c>
      <c r="H63" s="29" t="s">
        <v>206</v>
      </c>
      <c r="N63" s="47">
        <v>0.78</v>
      </c>
      <c r="O63" s="16">
        <v>4</v>
      </c>
      <c r="P63" s="16">
        <v>3</v>
      </c>
      <c r="Q63" s="16">
        <v>6</v>
      </c>
      <c r="R63" s="16">
        <v>6</v>
      </c>
      <c r="S63" s="16" t="s">
        <v>88</v>
      </c>
      <c r="T63" s="16" t="s">
        <v>88</v>
      </c>
      <c r="U63" s="16" t="s">
        <v>88</v>
      </c>
      <c r="V63" s="16" t="s">
        <v>88</v>
      </c>
      <c r="W63" s="16" t="s">
        <v>88</v>
      </c>
      <c r="X63" s="16" t="s">
        <v>88</v>
      </c>
      <c r="Y63" s="16" t="s">
        <v>114</v>
      </c>
      <c r="Z63" s="16" t="s">
        <v>114</v>
      </c>
      <c r="AA63" s="16" t="s">
        <v>114</v>
      </c>
      <c r="AB63" s="16" t="s">
        <v>114</v>
      </c>
      <c r="AC63" s="7">
        <v>5</v>
      </c>
      <c r="AD63" s="16">
        <v>0</v>
      </c>
      <c r="AE63" s="16" t="s">
        <v>540</v>
      </c>
      <c r="AF63" s="16" t="s">
        <v>76</v>
      </c>
      <c r="AG63" s="16" t="s">
        <v>114</v>
      </c>
      <c r="AH63" s="16" t="s">
        <v>114</v>
      </c>
      <c r="AI63" s="16" t="s">
        <v>114</v>
      </c>
      <c r="AJ63" s="16" t="s">
        <v>114</v>
      </c>
      <c r="AK63" s="16" t="s">
        <v>114</v>
      </c>
      <c r="AL63" s="16">
        <v>0</v>
      </c>
      <c r="AM63" s="16">
        <v>0</v>
      </c>
      <c r="AN63" s="16">
        <v>1</v>
      </c>
      <c r="AO63" s="16" t="s">
        <v>143</v>
      </c>
      <c r="AP63" s="16">
        <v>1</v>
      </c>
      <c r="AQ63" s="16">
        <v>1</v>
      </c>
      <c r="AR63" s="16">
        <v>1</v>
      </c>
      <c r="AS63" s="16">
        <v>1</v>
      </c>
      <c r="AT63" s="16">
        <v>1</v>
      </c>
      <c r="AU63" s="16">
        <v>1</v>
      </c>
      <c r="AV63" s="16">
        <v>1</v>
      </c>
      <c r="AW63" s="16">
        <v>1</v>
      </c>
      <c r="AX63" s="16">
        <v>1</v>
      </c>
      <c r="BD63" s="86"/>
    </row>
    <row r="64" spans="1:59" ht="15" customHeight="1" x14ac:dyDescent="0.6">
      <c r="A64" s="84">
        <v>20</v>
      </c>
      <c r="B64" s="88">
        <v>147804.003</v>
      </c>
      <c r="C64" s="108" t="s">
        <v>212</v>
      </c>
      <c r="D64" s="1" t="s">
        <v>85</v>
      </c>
      <c r="F64" s="7" t="s">
        <v>91</v>
      </c>
      <c r="H64" s="29" t="s">
        <v>206</v>
      </c>
      <c r="N64" s="180">
        <v>0</v>
      </c>
      <c r="O64" s="16"/>
      <c r="P64" s="16"/>
      <c r="Q64" s="16"/>
      <c r="R64" s="16"/>
      <c r="S64" s="16"/>
      <c r="T64" s="16"/>
      <c r="U64" s="16"/>
      <c r="V64" s="143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BD64" s="86"/>
    </row>
    <row r="65" spans="1:59" ht="15.6" x14ac:dyDescent="0.6">
      <c r="A65" s="84">
        <v>21</v>
      </c>
      <c r="B65" s="89">
        <v>147929</v>
      </c>
      <c r="C65" s="123" t="s">
        <v>213</v>
      </c>
      <c r="D65" s="1" t="s">
        <v>85</v>
      </c>
      <c r="E65" s="72"/>
      <c r="F65" s="7" t="s">
        <v>91</v>
      </c>
      <c r="G65" s="72"/>
      <c r="H65" s="72" t="s">
        <v>214</v>
      </c>
      <c r="I65" s="71"/>
      <c r="J65" s="114"/>
      <c r="K65" s="114"/>
      <c r="L65" s="114"/>
      <c r="M65" s="47"/>
      <c r="N65" s="44">
        <v>0.77</v>
      </c>
      <c r="O65" s="16">
        <v>3</v>
      </c>
      <c r="P65" s="16">
        <v>3</v>
      </c>
      <c r="Q65" s="16">
        <v>3</v>
      </c>
      <c r="R65" s="16">
        <v>6</v>
      </c>
      <c r="S65" s="16" t="s">
        <v>88</v>
      </c>
      <c r="T65" s="16" t="s">
        <v>88</v>
      </c>
      <c r="U65" s="16" t="s">
        <v>88</v>
      </c>
      <c r="V65" s="16" t="s">
        <v>88</v>
      </c>
      <c r="W65" s="16" t="s">
        <v>88</v>
      </c>
      <c r="X65" s="16" t="s">
        <v>88</v>
      </c>
      <c r="Y65" s="16" t="s">
        <v>114</v>
      </c>
      <c r="Z65" s="16" t="s">
        <v>114</v>
      </c>
      <c r="AA65" s="16" t="s">
        <v>114</v>
      </c>
      <c r="AB65" s="16" t="s">
        <v>114</v>
      </c>
      <c r="AC65" s="16">
        <v>1</v>
      </c>
      <c r="AD65" s="16">
        <v>0</v>
      </c>
      <c r="AE65" s="16" t="s">
        <v>540</v>
      </c>
      <c r="AF65" s="16" t="s">
        <v>76</v>
      </c>
      <c r="AG65" s="16" t="s">
        <v>114</v>
      </c>
      <c r="AH65" s="16" t="s">
        <v>114</v>
      </c>
      <c r="AI65" s="16" t="s">
        <v>114</v>
      </c>
      <c r="AJ65" s="16" t="s">
        <v>114</v>
      </c>
      <c r="AK65" s="16" t="s">
        <v>114</v>
      </c>
      <c r="AL65" s="16">
        <v>0</v>
      </c>
      <c r="AM65" s="16">
        <v>1</v>
      </c>
      <c r="AN65" s="16">
        <v>1</v>
      </c>
      <c r="AO65" s="16" t="s">
        <v>143</v>
      </c>
      <c r="AP65" s="16">
        <v>3</v>
      </c>
      <c r="AQ65" s="16">
        <v>1</v>
      </c>
      <c r="AR65" s="16">
        <v>1</v>
      </c>
      <c r="AS65" s="16">
        <v>1</v>
      </c>
      <c r="AT65" s="16">
        <v>1</v>
      </c>
      <c r="AU65" s="16">
        <v>1</v>
      </c>
      <c r="AV65" s="16">
        <v>1</v>
      </c>
      <c r="AW65" s="16">
        <v>1</v>
      </c>
      <c r="AX65" s="16">
        <v>1</v>
      </c>
      <c r="AY65" s="7"/>
      <c r="AZ65" s="7"/>
      <c r="BA65" s="7"/>
      <c r="BB65" s="116"/>
      <c r="BC65" s="116"/>
      <c r="BD65" s="86"/>
    </row>
    <row r="66" spans="1:59" ht="15.6" x14ac:dyDescent="0.6">
      <c r="A66" s="84">
        <v>22</v>
      </c>
      <c r="B66" s="89">
        <v>147918</v>
      </c>
      <c r="C66" s="123" t="s">
        <v>215</v>
      </c>
      <c r="D66" s="1" t="s">
        <v>85</v>
      </c>
      <c r="E66" s="72"/>
      <c r="F66" s="7" t="s">
        <v>91</v>
      </c>
      <c r="G66" s="72"/>
      <c r="H66" s="72" t="s">
        <v>214</v>
      </c>
      <c r="I66" s="71"/>
      <c r="J66" s="114"/>
      <c r="K66" s="114"/>
      <c r="L66" s="114"/>
      <c r="M66" s="47"/>
      <c r="N66" s="44">
        <v>0.77</v>
      </c>
      <c r="O66" s="16">
        <v>3</v>
      </c>
      <c r="P66" s="16">
        <v>3</v>
      </c>
      <c r="Q66" s="16">
        <v>3</v>
      </c>
      <c r="R66" s="16">
        <v>6</v>
      </c>
      <c r="S66" s="16" t="s">
        <v>88</v>
      </c>
      <c r="T66" s="16" t="s">
        <v>88</v>
      </c>
      <c r="U66" s="16" t="s">
        <v>88</v>
      </c>
      <c r="V66" s="16" t="s">
        <v>88</v>
      </c>
      <c r="W66" s="16" t="s">
        <v>88</v>
      </c>
      <c r="X66" s="16" t="s">
        <v>88</v>
      </c>
      <c r="Y66" s="16" t="s">
        <v>114</v>
      </c>
      <c r="Z66" s="16" t="s">
        <v>114</v>
      </c>
      <c r="AA66" s="16" t="s">
        <v>114</v>
      </c>
      <c r="AB66" s="16" t="s">
        <v>114</v>
      </c>
      <c r="AC66" s="16">
        <v>1</v>
      </c>
      <c r="AD66" s="16">
        <v>0</v>
      </c>
      <c r="AE66" s="16" t="s">
        <v>540</v>
      </c>
      <c r="AF66" s="16" t="s">
        <v>76</v>
      </c>
      <c r="AG66" s="16" t="s">
        <v>114</v>
      </c>
      <c r="AH66" s="16" t="s">
        <v>114</v>
      </c>
      <c r="AI66" s="16" t="s">
        <v>114</v>
      </c>
      <c r="AJ66" s="16" t="s">
        <v>114</v>
      </c>
      <c r="AK66" s="16" t="s">
        <v>114</v>
      </c>
      <c r="AL66" s="16">
        <v>0</v>
      </c>
      <c r="AM66" s="16">
        <v>1</v>
      </c>
      <c r="AN66" s="16">
        <v>1</v>
      </c>
      <c r="AO66" s="16" t="s">
        <v>143</v>
      </c>
      <c r="AP66" s="16">
        <v>3</v>
      </c>
      <c r="AQ66" s="16">
        <v>1</v>
      </c>
      <c r="AR66" s="16">
        <v>1</v>
      </c>
      <c r="AS66" s="16">
        <v>1</v>
      </c>
      <c r="AT66" s="16">
        <v>1</v>
      </c>
      <c r="AU66" s="16">
        <v>1</v>
      </c>
      <c r="AV66" s="16">
        <v>1</v>
      </c>
      <c r="AW66" s="16">
        <v>1</v>
      </c>
      <c r="AX66" s="16">
        <v>1</v>
      </c>
      <c r="AY66" s="7"/>
      <c r="AZ66" s="7"/>
      <c r="BA66" s="7"/>
      <c r="BB66" s="116"/>
      <c r="BC66" s="116"/>
      <c r="BD66" s="86"/>
    </row>
    <row r="67" spans="1:59" ht="15.6" x14ac:dyDescent="0.6">
      <c r="A67" s="84">
        <v>23</v>
      </c>
      <c r="B67" s="89">
        <v>147919</v>
      </c>
      <c r="C67" s="123" t="s">
        <v>216</v>
      </c>
      <c r="D67" s="1" t="s">
        <v>85</v>
      </c>
      <c r="E67" s="72"/>
      <c r="F67" s="7" t="s">
        <v>93</v>
      </c>
      <c r="G67" s="72"/>
      <c r="H67" s="72" t="s">
        <v>214</v>
      </c>
      <c r="I67" s="71"/>
      <c r="J67" s="114"/>
      <c r="K67" s="114"/>
      <c r="L67" s="114"/>
      <c r="M67" s="47"/>
      <c r="N67" s="44">
        <v>0.43</v>
      </c>
      <c r="O67" s="16">
        <v>3</v>
      </c>
      <c r="P67" s="16">
        <v>3</v>
      </c>
      <c r="Q67" s="16">
        <v>3</v>
      </c>
      <c r="R67" s="16">
        <v>6</v>
      </c>
      <c r="S67" s="16" t="s">
        <v>88</v>
      </c>
      <c r="T67" s="16" t="s">
        <v>88</v>
      </c>
      <c r="U67" s="16" t="s">
        <v>88</v>
      </c>
      <c r="V67" s="16" t="s">
        <v>88</v>
      </c>
      <c r="W67" s="16" t="s">
        <v>88</v>
      </c>
      <c r="X67" s="16" t="s">
        <v>88</v>
      </c>
      <c r="Y67" s="16" t="s">
        <v>114</v>
      </c>
      <c r="Z67" s="16" t="s">
        <v>114</v>
      </c>
      <c r="AA67" s="16" t="s">
        <v>114</v>
      </c>
      <c r="AB67" s="16" t="s">
        <v>114</v>
      </c>
      <c r="AC67" s="16">
        <v>1</v>
      </c>
      <c r="AD67" s="16">
        <v>0</v>
      </c>
      <c r="AE67" s="16" t="s">
        <v>540</v>
      </c>
      <c r="AF67" s="16" t="s">
        <v>76</v>
      </c>
      <c r="AG67" s="16" t="s">
        <v>114</v>
      </c>
      <c r="AH67" s="16" t="s">
        <v>114</v>
      </c>
      <c r="AI67" s="16" t="s">
        <v>114</v>
      </c>
      <c r="AJ67" s="16" t="s">
        <v>114</v>
      </c>
      <c r="AK67" s="16" t="s">
        <v>114</v>
      </c>
      <c r="AL67" s="16">
        <v>0</v>
      </c>
      <c r="AM67" s="16">
        <v>1</v>
      </c>
      <c r="AN67" s="16">
        <v>1</v>
      </c>
      <c r="AO67" s="16" t="s">
        <v>143</v>
      </c>
      <c r="AP67" s="16">
        <v>3</v>
      </c>
      <c r="AQ67" s="16">
        <v>1</v>
      </c>
      <c r="AR67" s="16">
        <v>1</v>
      </c>
      <c r="AS67" s="16">
        <v>1</v>
      </c>
      <c r="AT67" s="16">
        <v>1</v>
      </c>
      <c r="AU67" s="16">
        <v>1</v>
      </c>
      <c r="AV67" s="16">
        <v>1</v>
      </c>
      <c r="AW67" s="16">
        <v>1</v>
      </c>
      <c r="AX67" s="16">
        <v>1</v>
      </c>
      <c r="AY67" s="7"/>
      <c r="AZ67" s="7"/>
      <c r="BA67" s="7"/>
      <c r="BB67" s="116"/>
      <c r="BC67" s="116"/>
      <c r="BD67" s="86"/>
    </row>
    <row r="68" spans="1:59" ht="15.6" x14ac:dyDescent="0.6">
      <c r="A68" s="84">
        <v>24</v>
      </c>
      <c r="B68" s="89">
        <v>147920</v>
      </c>
      <c r="C68" s="123" t="s">
        <v>217</v>
      </c>
      <c r="D68" s="1" t="s">
        <v>85</v>
      </c>
      <c r="E68" s="72"/>
      <c r="F68" s="7" t="s">
        <v>93</v>
      </c>
      <c r="G68" s="72"/>
      <c r="H68" s="72" t="s">
        <v>214</v>
      </c>
      <c r="I68" s="71"/>
      <c r="J68" s="114"/>
      <c r="K68" s="114"/>
      <c r="L68" s="114"/>
      <c r="M68" s="47"/>
      <c r="N68" s="44">
        <v>0.63</v>
      </c>
      <c r="O68" s="16">
        <v>3</v>
      </c>
      <c r="P68" s="16">
        <v>3</v>
      </c>
      <c r="Q68" s="16">
        <v>3</v>
      </c>
      <c r="R68" s="16">
        <v>6</v>
      </c>
      <c r="S68" s="16" t="s">
        <v>88</v>
      </c>
      <c r="T68" s="16" t="s">
        <v>88</v>
      </c>
      <c r="U68" s="16" t="s">
        <v>88</v>
      </c>
      <c r="V68" s="16" t="s">
        <v>88</v>
      </c>
      <c r="W68" s="16" t="s">
        <v>88</v>
      </c>
      <c r="X68" s="16" t="s">
        <v>88</v>
      </c>
      <c r="Y68" s="16" t="s">
        <v>114</v>
      </c>
      <c r="Z68" s="16" t="s">
        <v>114</v>
      </c>
      <c r="AA68" s="16" t="s">
        <v>114</v>
      </c>
      <c r="AB68" s="16" t="s">
        <v>114</v>
      </c>
      <c r="AC68" s="16">
        <v>1</v>
      </c>
      <c r="AD68" s="16">
        <v>0</v>
      </c>
      <c r="AE68" s="16" t="s">
        <v>540</v>
      </c>
      <c r="AF68" s="16" t="s">
        <v>76</v>
      </c>
      <c r="AG68" s="16" t="s">
        <v>114</v>
      </c>
      <c r="AH68" s="16" t="s">
        <v>114</v>
      </c>
      <c r="AI68" s="16" t="s">
        <v>114</v>
      </c>
      <c r="AJ68" s="16" t="s">
        <v>114</v>
      </c>
      <c r="AK68" s="16" t="s">
        <v>114</v>
      </c>
      <c r="AL68" s="16">
        <v>0</v>
      </c>
      <c r="AM68" s="16">
        <v>1</v>
      </c>
      <c r="AN68" s="16">
        <v>1</v>
      </c>
      <c r="AO68" s="16" t="s">
        <v>143</v>
      </c>
      <c r="AP68" s="16">
        <v>3</v>
      </c>
      <c r="AQ68" s="16">
        <v>1</v>
      </c>
      <c r="AR68" s="16">
        <v>1</v>
      </c>
      <c r="AS68" s="16">
        <v>1</v>
      </c>
      <c r="AT68" s="16">
        <v>1</v>
      </c>
      <c r="AU68" s="16">
        <v>1</v>
      </c>
      <c r="AV68" s="16">
        <v>1</v>
      </c>
      <c r="AW68" s="16">
        <v>1</v>
      </c>
      <c r="AX68" s="16">
        <v>1</v>
      </c>
      <c r="AY68" s="7"/>
      <c r="AZ68" s="7"/>
      <c r="BA68" s="7"/>
      <c r="BB68" s="116"/>
      <c r="BC68" s="116"/>
      <c r="BD68" s="86"/>
    </row>
    <row r="69" spans="1:59" ht="15.6" x14ac:dyDescent="0.6">
      <c r="A69" s="84">
        <v>25</v>
      </c>
      <c r="B69" s="89">
        <v>147917</v>
      </c>
      <c r="C69" s="123" t="s">
        <v>218</v>
      </c>
      <c r="D69" s="1" t="s">
        <v>85</v>
      </c>
      <c r="E69" s="72"/>
      <c r="F69" s="7" t="s">
        <v>93</v>
      </c>
      <c r="G69" s="72"/>
      <c r="H69" s="72" t="s">
        <v>214</v>
      </c>
      <c r="I69" s="71"/>
      <c r="J69" s="114"/>
      <c r="K69" s="114"/>
      <c r="L69" s="114"/>
      <c r="M69" s="47"/>
      <c r="N69" s="44">
        <v>0.77</v>
      </c>
      <c r="O69" s="16">
        <v>3</v>
      </c>
      <c r="P69" s="16">
        <v>3</v>
      </c>
      <c r="Q69" s="16">
        <v>3</v>
      </c>
      <c r="R69" s="16">
        <v>6</v>
      </c>
      <c r="S69" s="16" t="s">
        <v>88</v>
      </c>
      <c r="T69" s="16" t="s">
        <v>88</v>
      </c>
      <c r="U69" s="16" t="s">
        <v>88</v>
      </c>
      <c r="V69" s="16" t="s">
        <v>88</v>
      </c>
      <c r="W69" s="16" t="s">
        <v>88</v>
      </c>
      <c r="X69" s="16" t="s">
        <v>88</v>
      </c>
      <c r="Y69" s="16" t="s">
        <v>114</v>
      </c>
      <c r="Z69" s="16" t="s">
        <v>114</v>
      </c>
      <c r="AA69" s="16" t="s">
        <v>114</v>
      </c>
      <c r="AB69" s="16" t="s">
        <v>114</v>
      </c>
      <c r="AC69" s="16">
        <v>1</v>
      </c>
      <c r="AD69" s="16">
        <v>0</v>
      </c>
      <c r="AE69" s="16" t="s">
        <v>540</v>
      </c>
      <c r="AF69" s="16" t="s">
        <v>76</v>
      </c>
      <c r="AG69" s="16" t="s">
        <v>114</v>
      </c>
      <c r="AH69" s="16" t="s">
        <v>114</v>
      </c>
      <c r="AI69" s="16" t="s">
        <v>114</v>
      </c>
      <c r="AJ69" s="16" t="s">
        <v>114</v>
      </c>
      <c r="AK69" s="16" t="s">
        <v>114</v>
      </c>
      <c r="AL69" s="16">
        <v>0</v>
      </c>
      <c r="AM69" s="16">
        <v>1</v>
      </c>
      <c r="AN69" s="16">
        <v>1</v>
      </c>
      <c r="AO69" s="16" t="s">
        <v>143</v>
      </c>
      <c r="AP69" s="16">
        <v>3</v>
      </c>
      <c r="AQ69" s="16">
        <v>1</v>
      </c>
      <c r="AR69" s="16">
        <v>1</v>
      </c>
      <c r="AS69" s="16">
        <v>1</v>
      </c>
      <c r="AT69" s="16">
        <v>1</v>
      </c>
      <c r="AU69" s="16">
        <v>1</v>
      </c>
      <c r="AV69" s="16">
        <v>1</v>
      </c>
      <c r="AW69" s="16">
        <v>1</v>
      </c>
      <c r="AX69" s="16">
        <v>1</v>
      </c>
      <c r="AY69" s="7"/>
      <c r="AZ69" s="7"/>
      <c r="BA69" s="7"/>
      <c r="BB69" s="116"/>
      <c r="BC69" s="116"/>
      <c r="BD69" s="86"/>
    </row>
    <row r="70" spans="1:59" ht="15.6" x14ac:dyDescent="0.6">
      <c r="A70" s="84"/>
      <c r="B70" s="89">
        <v>147957</v>
      </c>
      <c r="C70" s="123" t="s">
        <v>545</v>
      </c>
      <c r="D70" s="1" t="s">
        <v>85</v>
      </c>
      <c r="E70" s="72"/>
      <c r="F70" s="7" t="s">
        <v>93</v>
      </c>
      <c r="G70" s="72"/>
      <c r="H70" s="72" t="s">
        <v>214</v>
      </c>
      <c r="I70" s="71"/>
      <c r="J70" s="114"/>
      <c r="K70" s="114"/>
      <c r="L70" s="114"/>
      <c r="M70" s="47"/>
      <c r="N70" s="53">
        <v>0</v>
      </c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7"/>
      <c r="AZ70" s="7"/>
      <c r="BA70" s="7"/>
      <c r="BB70" s="116"/>
      <c r="BC70" s="116"/>
      <c r="BD70" s="86"/>
    </row>
    <row r="71" spans="1:59" ht="15.6" customHeight="1" x14ac:dyDescent="0.6">
      <c r="A71" s="84">
        <v>3</v>
      </c>
      <c r="B71" s="88">
        <v>147933</v>
      </c>
      <c r="C71" s="108" t="s">
        <v>183</v>
      </c>
      <c r="D71" s="1" t="s">
        <v>85</v>
      </c>
      <c r="F71" s="7" t="s">
        <v>80</v>
      </c>
      <c r="H71" s="29" t="s">
        <v>182</v>
      </c>
      <c r="I71" s="55"/>
      <c r="J71" s="55"/>
      <c r="K71" s="55"/>
      <c r="L71" s="55"/>
      <c r="M71" s="55"/>
      <c r="N71" s="174">
        <v>0.94</v>
      </c>
      <c r="O71" s="7">
        <v>3</v>
      </c>
      <c r="P71" s="7">
        <v>3</v>
      </c>
      <c r="Q71" s="7">
        <v>3</v>
      </c>
      <c r="R71" s="7">
        <v>6</v>
      </c>
      <c r="S71" s="16" t="s">
        <v>88</v>
      </c>
      <c r="T71" s="16" t="s">
        <v>88</v>
      </c>
      <c r="U71" s="16" t="s">
        <v>88</v>
      </c>
      <c r="V71" s="16" t="s">
        <v>88</v>
      </c>
      <c r="W71" s="16" t="s">
        <v>88</v>
      </c>
      <c r="X71" s="16" t="s">
        <v>88</v>
      </c>
      <c r="Y71" s="16" t="s">
        <v>114</v>
      </c>
      <c r="Z71" s="16" t="s">
        <v>114</v>
      </c>
      <c r="AA71" s="16" t="s">
        <v>114</v>
      </c>
      <c r="AB71" s="16" t="s">
        <v>114</v>
      </c>
      <c r="AC71" s="7">
        <v>1</v>
      </c>
      <c r="AD71" s="7">
        <v>0</v>
      </c>
      <c r="AE71" s="7" t="s">
        <v>542</v>
      </c>
      <c r="AF71" s="7" t="s">
        <v>76</v>
      </c>
      <c r="AG71" s="16" t="s">
        <v>114</v>
      </c>
      <c r="AH71" s="16" t="s">
        <v>114</v>
      </c>
      <c r="AI71" s="16" t="s">
        <v>114</v>
      </c>
      <c r="AJ71" s="16" t="s">
        <v>114</v>
      </c>
      <c r="AK71" s="7">
        <v>2</v>
      </c>
      <c r="AL71" s="7">
        <v>1</v>
      </c>
      <c r="AM71" s="7">
        <v>1</v>
      </c>
      <c r="AN71" s="7">
        <v>1</v>
      </c>
      <c r="AO71" s="7" t="s">
        <v>85</v>
      </c>
      <c r="AP71" s="7">
        <v>3</v>
      </c>
      <c r="AQ71" s="7">
        <v>1</v>
      </c>
      <c r="AR71" s="7">
        <v>1</v>
      </c>
      <c r="AS71" s="7">
        <v>1</v>
      </c>
      <c r="AT71" s="7">
        <v>1</v>
      </c>
      <c r="AU71" s="7">
        <v>1</v>
      </c>
      <c r="AV71" s="7">
        <v>1</v>
      </c>
      <c r="AW71" s="7">
        <v>1</v>
      </c>
      <c r="AX71" s="7">
        <v>1</v>
      </c>
      <c r="AY71" s="7"/>
      <c r="AZ71" s="7"/>
      <c r="BA71" s="7"/>
      <c r="BB71" s="7"/>
      <c r="BC71" s="7"/>
      <c r="BD71" s="86"/>
    </row>
    <row r="73" spans="1:59" ht="15.6" customHeight="1" x14ac:dyDescent="0.6">
      <c r="A73" s="84"/>
      <c r="B73" s="60">
        <v>147934</v>
      </c>
      <c r="C73" s="65" t="s">
        <v>184</v>
      </c>
      <c r="D73" s="28" t="s">
        <v>82</v>
      </c>
      <c r="F73" s="7" t="s">
        <v>93</v>
      </c>
      <c r="H73" s="29" t="s">
        <v>182</v>
      </c>
      <c r="I73" s="55"/>
      <c r="J73" s="55"/>
      <c r="K73" s="55"/>
      <c r="L73" s="55"/>
      <c r="M73" s="55"/>
      <c r="N73" s="44">
        <v>0</v>
      </c>
      <c r="O73" s="55"/>
      <c r="P73" s="55"/>
      <c r="Q73" s="55"/>
      <c r="R73" s="55"/>
      <c r="S73" s="113"/>
      <c r="T73" s="113"/>
      <c r="U73" s="113"/>
      <c r="V73" s="113"/>
      <c r="W73" s="46"/>
      <c r="X73" s="113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5"/>
      <c r="AW73" s="55"/>
      <c r="AX73" s="55"/>
      <c r="AY73" s="55"/>
      <c r="AZ73" s="55"/>
      <c r="BA73" s="55"/>
      <c r="BB73" s="55"/>
      <c r="BC73" s="55"/>
      <c r="BD73" s="86"/>
    </row>
    <row r="74" spans="1:59" ht="15.6" customHeight="1" x14ac:dyDescent="0.6">
      <c r="B74" s="60">
        <v>142827</v>
      </c>
      <c r="C74" s="65" t="s">
        <v>514</v>
      </c>
      <c r="D74" s="28" t="s">
        <v>76</v>
      </c>
      <c r="E74" s="55"/>
      <c r="F74" s="7" t="s">
        <v>515</v>
      </c>
      <c r="G74" s="55"/>
      <c r="H74" s="29" t="s">
        <v>182</v>
      </c>
      <c r="I74" s="55"/>
      <c r="J74" s="55"/>
      <c r="K74" s="55"/>
      <c r="L74" s="55"/>
      <c r="M74" s="55"/>
      <c r="P74" s="55"/>
      <c r="Q74" s="55"/>
      <c r="R74" s="55"/>
      <c r="S74" s="113"/>
      <c r="T74" s="113"/>
      <c r="U74" s="113"/>
      <c r="V74" s="113"/>
      <c r="W74" s="46"/>
      <c r="X74" s="113"/>
      <c r="Y74" s="55"/>
      <c r="Z74" s="55"/>
      <c r="AA74" s="55"/>
      <c r="AB74" s="55"/>
      <c r="AC74" s="55"/>
      <c r="AD74" s="55"/>
      <c r="AE74" s="55"/>
      <c r="AF74" s="55"/>
      <c r="AG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5"/>
      <c r="AW74" s="55"/>
      <c r="AX74" s="55"/>
      <c r="AY74" s="55"/>
      <c r="AZ74" s="55"/>
      <c r="BA74" s="55"/>
      <c r="BB74" s="55"/>
      <c r="BC74" s="55"/>
      <c r="BD74" s="86" t="str">
        <f>IF(N71&gt;60%,"YES","No")</f>
        <v>YES</v>
      </c>
      <c r="BE74" s="76" t="str">
        <f>C74</f>
        <v>THCDS Plano - AHU Replacement - small</v>
      </c>
      <c r="BF74" s="76" t="str">
        <f>H74</f>
        <v>Wes Bowen</v>
      </c>
      <c r="BG74" s="76" t="str">
        <f>IF(AZ74&gt;65%,"No need to contact","need to contact")</f>
        <v>need to contact</v>
      </c>
    </row>
    <row r="75" spans="1:59" ht="15" customHeight="1" x14ac:dyDescent="0.6">
      <c r="A75" s="84"/>
      <c r="B75" s="60">
        <v>147955</v>
      </c>
      <c r="C75" s="65" t="s">
        <v>547</v>
      </c>
      <c r="D75" s="28" t="s">
        <v>76</v>
      </c>
      <c r="F75" s="7" t="s">
        <v>548</v>
      </c>
      <c r="H75" s="29" t="s">
        <v>521</v>
      </c>
      <c r="N75" s="47"/>
      <c r="O75" s="16"/>
      <c r="P75" s="16"/>
      <c r="Q75" s="16"/>
      <c r="R75" s="16"/>
      <c r="S75" s="16"/>
      <c r="T75" s="16"/>
      <c r="U75" s="16"/>
      <c r="V75" s="143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BD75" s="86"/>
    </row>
    <row r="76" spans="1:59" ht="15.6" x14ac:dyDescent="0.6">
      <c r="A76" s="84">
        <v>12</v>
      </c>
      <c r="B76" s="84">
        <v>147885</v>
      </c>
      <c r="C76" s="84" t="s">
        <v>200</v>
      </c>
      <c r="D76" s="28" t="s">
        <v>76</v>
      </c>
      <c r="E76" s="72"/>
      <c r="F76" s="71" t="s">
        <v>553</v>
      </c>
      <c r="G76" s="72"/>
      <c r="H76" s="29" t="s">
        <v>201</v>
      </c>
      <c r="I76" s="71"/>
      <c r="J76" s="114"/>
      <c r="K76" s="114"/>
      <c r="L76" s="114"/>
      <c r="M76" s="47"/>
      <c r="N76" s="44">
        <v>0</v>
      </c>
      <c r="O76" s="16"/>
      <c r="P76" s="16"/>
      <c r="Q76" s="16"/>
      <c r="R76" s="16"/>
      <c r="S76" s="5"/>
      <c r="T76" s="109"/>
      <c r="U76" s="109"/>
      <c r="V76" s="143"/>
      <c r="W76" s="46"/>
      <c r="X76" s="5"/>
      <c r="Y76" s="110"/>
      <c r="Z76" s="110"/>
      <c r="AA76" s="110"/>
      <c r="AB76" s="110"/>
      <c r="AC76" s="16"/>
      <c r="AD76" s="16"/>
      <c r="AE76" s="16"/>
      <c r="AF76" s="16"/>
      <c r="AG76" s="111"/>
      <c r="AH76" s="112"/>
      <c r="AI76" s="15"/>
      <c r="AJ76" s="1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85"/>
      <c r="AZ76" s="46"/>
      <c r="BA76" s="85"/>
      <c r="BB76" s="116"/>
      <c r="BC76" s="116"/>
      <c r="BD76" s="86"/>
      <c r="BF76" s="87"/>
      <c r="BG76" s="87"/>
    </row>
    <row r="77" spans="1:59" ht="15" customHeight="1" x14ac:dyDescent="0.6">
      <c r="A77" s="84">
        <v>27</v>
      </c>
      <c r="B77" s="60">
        <v>147864</v>
      </c>
      <c r="C77" s="65" t="s">
        <v>219</v>
      </c>
      <c r="D77" s="28" t="s">
        <v>76</v>
      </c>
      <c r="F77" s="7" t="s">
        <v>554</v>
      </c>
      <c r="H77" s="29" t="s">
        <v>222</v>
      </c>
      <c r="N77" s="47">
        <v>0.87</v>
      </c>
      <c r="O77" s="16">
        <v>4</v>
      </c>
      <c r="P77" s="16">
        <v>4</v>
      </c>
      <c r="Q77" s="16">
        <v>4</v>
      </c>
      <c r="R77" s="16">
        <v>6</v>
      </c>
      <c r="S77" s="16" t="s">
        <v>85</v>
      </c>
      <c r="T77" s="16">
        <v>234</v>
      </c>
      <c r="U77" s="16">
        <v>109</v>
      </c>
      <c r="V77" s="143">
        <v>4</v>
      </c>
      <c r="W77" s="46">
        <f>(T77-U77)/T77</f>
        <v>0.53418803418803418</v>
      </c>
      <c r="X77" s="16" t="s">
        <v>76</v>
      </c>
      <c r="Y77" s="16" t="s">
        <v>88</v>
      </c>
      <c r="Z77" s="16" t="s">
        <v>88</v>
      </c>
      <c r="AA77" s="16" t="s">
        <v>88</v>
      </c>
      <c r="AB77" s="16" t="s">
        <v>88</v>
      </c>
      <c r="AC77" s="16">
        <v>20</v>
      </c>
      <c r="AD77" s="16">
        <v>0</v>
      </c>
      <c r="AE77" s="16" t="s">
        <v>542</v>
      </c>
      <c r="AF77" s="16" t="s">
        <v>76</v>
      </c>
      <c r="AG77" s="16" t="s">
        <v>114</v>
      </c>
      <c r="AH77" s="16" t="s">
        <v>114</v>
      </c>
      <c r="AI77" s="16" t="s">
        <v>114</v>
      </c>
      <c r="AJ77" s="16" t="s">
        <v>114</v>
      </c>
      <c r="AK77" s="16">
        <v>3</v>
      </c>
      <c r="AL77" s="16">
        <v>0</v>
      </c>
      <c r="AM77" s="16">
        <v>1</v>
      </c>
      <c r="AN77" s="16">
        <v>1</v>
      </c>
      <c r="AO77" s="16" t="s">
        <v>143</v>
      </c>
      <c r="AP77" s="16">
        <v>3</v>
      </c>
      <c r="AQ77" s="16">
        <v>1</v>
      </c>
      <c r="AR77" s="16">
        <v>2</v>
      </c>
      <c r="AS77" s="16">
        <v>1</v>
      </c>
      <c r="AT77" s="16">
        <v>1</v>
      </c>
      <c r="AU77" s="16">
        <v>1</v>
      </c>
      <c r="AV77" s="16">
        <v>1</v>
      </c>
      <c r="AW77" s="16">
        <v>1</v>
      </c>
      <c r="AX77" s="16">
        <v>1</v>
      </c>
      <c r="BD77" s="86" t="str">
        <f>IF(N77&gt;60%,"YES","No")</f>
        <v>YES</v>
      </c>
    </row>
    <row r="78" spans="1:59" ht="15" customHeight="1" x14ac:dyDescent="0.6">
      <c r="A78" s="84">
        <v>28</v>
      </c>
      <c r="B78" s="60">
        <v>147676</v>
      </c>
      <c r="C78" s="65" t="s">
        <v>506</v>
      </c>
      <c r="D78" s="28" t="s">
        <v>76</v>
      </c>
      <c r="F78" s="7" t="s">
        <v>117</v>
      </c>
      <c r="H78" s="29" t="s">
        <v>182</v>
      </c>
      <c r="N78" s="47">
        <v>0</v>
      </c>
      <c r="O78" s="16"/>
      <c r="P78" s="16"/>
      <c r="Q78" s="16"/>
      <c r="R78" s="16"/>
      <c r="S78" s="16"/>
      <c r="T78" s="16"/>
      <c r="U78" s="16"/>
      <c r="V78" s="143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BD78" s="86"/>
    </row>
    <row r="79" spans="1:59" ht="15" customHeight="1" x14ac:dyDescent="0.6">
      <c r="A79" s="84">
        <v>29</v>
      </c>
      <c r="B79" s="60">
        <v>147675</v>
      </c>
      <c r="C79" s="65" t="s">
        <v>507</v>
      </c>
      <c r="D79" s="28" t="s">
        <v>76</v>
      </c>
      <c r="F79" s="7" t="s">
        <v>117</v>
      </c>
      <c r="H79" s="29" t="s">
        <v>182</v>
      </c>
      <c r="N79" s="47">
        <v>0</v>
      </c>
      <c r="O79" s="16"/>
      <c r="P79" s="16"/>
      <c r="Q79" s="16"/>
      <c r="R79" s="16"/>
      <c r="S79" s="16"/>
      <c r="T79" s="16"/>
      <c r="U79" s="16"/>
      <c r="V79" s="143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BD79" s="86"/>
    </row>
    <row r="80" spans="1:59" ht="15" customHeight="1" x14ac:dyDescent="0.6">
      <c r="A80" s="84">
        <v>30</v>
      </c>
      <c r="B80" s="60">
        <v>147585</v>
      </c>
      <c r="C80" s="65" t="s">
        <v>512</v>
      </c>
      <c r="D80" s="28" t="s">
        <v>76</v>
      </c>
      <c r="F80" s="7" t="s">
        <v>117</v>
      </c>
      <c r="H80" s="29" t="s">
        <v>182</v>
      </c>
      <c r="N80" s="47"/>
      <c r="O80" s="16"/>
      <c r="P80" s="16"/>
      <c r="Q80" s="16"/>
      <c r="R80" s="16"/>
      <c r="S80" s="16"/>
      <c r="T80" s="16"/>
      <c r="U80" s="16"/>
      <c r="V80" s="143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BD80" s="86"/>
    </row>
    <row r="81" spans="1:59" ht="15" customHeight="1" x14ac:dyDescent="0.6">
      <c r="A81" s="84">
        <v>31</v>
      </c>
      <c r="B81" s="106">
        <v>147385</v>
      </c>
      <c r="C81" s="178" t="s">
        <v>513</v>
      </c>
      <c r="D81" s="28" t="s">
        <v>76</v>
      </c>
      <c r="E81" s="178"/>
      <c r="F81" s="16" t="s">
        <v>117</v>
      </c>
      <c r="G81" s="178"/>
      <c r="H81" s="179" t="s">
        <v>182</v>
      </c>
      <c r="N81" s="47"/>
      <c r="O81" s="16"/>
      <c r="P81" s="16"/>
      <c r="Q81" s="16"/>
      <c r="R81" s="16"/>
      <c r="S81" s="16"/>
      <c r="T81" s="16"/>
      <c r="U81" s="16"/>
      <c r="V81" s="143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BD81" s="86"/>
    </row>
    <row r="82" spans="1:59" ht="15" customHeight="1" x14ac:dyDescent="0.6">
      <c r="A82" s="84"/>
      <c r="B82" s="60">
        <v>147665</v>
      </c>
      <c r="C82" s="65" t="s">
        <v>517</v>
      </c>
      <c r="D82" s="28" t="s">
        <v>76</v>
      </c>
      <c r="F82" s="7"/>
      <c r="H82" s="29" t="s">
        <v>182</v>
      </c>
      <c r="N82" s="47"/>
      <c r="O82" s="16"/>
      <c r="P82" s="16"/>
      <c r="Q82" s="16"/>
      <c r="R82" s="16"/>
      <c r="S82" s="16"/>
      <c r="T82" s="16"/>
      <c r="U82" s="16"/>
      <c r="V82" s="143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BD82" s="86"/>
    </row>
    <row r="83" spans="1:59" ht="15" customHeight="1" x14ac:dyDescent="0.6">
      <c r="A83" s="84"/>
      <c r="B83" s="60">
        <v>147670</v>
      </c>
      <c r="C83" s="65" t="s">
        <v>508</v>
      </c>
      <c r="D83" s="28" t="s">
        <v>76</v>
      </c>
      <c r="F83" s="7"/>
      <c r="H83" s="29" t="s">
        <v>182</v>
      </c>
      <c r="N83" s="47"/>
      <c r="O83" s="16"/>
      <c r="P83" s="16"/>
      <c r="Q83" s="16"/>
      <c r="R83" s="16"/>
      <c r="S83" s="16"/>
      <c r="T83" s="16"/>
      <c r="U83" s="16"/>
      <c r="V83" s="143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BD83" s="86"/>
    </row>
    <row r="84" spans="1:59" ht="15" customHeight="1" x14ac:dyDescent="0.6">
      <c r="A84" s="84"/>
      <c r="B84" s="60">
        <v>147633</v>
      </c>
      <c r="C84" s="65" t="s">
        <v>509</v>
      </c>
      <c r="D84" s="28" t="s">
        <v>76</v>
      </c>
      <c r="F84" s="7"/>
      <c r="H84" s="29" t="s">
        <v>182</v>
      </c>
      <c r="N84" s="47"/>
      <c r="O84" s="16"/>
      <c r="P84" s="16"/>
      <c r="Q84" s="16"/>
      <c r="R84" s="16"/>
      <c r="S84" s="16"/>
      <c r="T84" s="16"/>
      <c r="U84" s="16"/>
      <c r="V84" s="143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BD84" s="86"/>
    </row>
    <row r="85" spans="1:59" ht="15" customHeight="1" x14ac:dyDescent="0.6">
      <c r="A85" s="84"/>
      <c r="B85" s="60">
        <v>147621</v>
      </c>
      <c r="C85" s="65" t="s">
        <v>510</v>
      </c>
      <c r="D85" s="28" t="s">
        <v>76</v>
      </c>
      <c r="F85" s="7"/>
      <c r="H85" s="29" t="s">
        <v>182</v>
      </c>
      <c r="N85" s="47"/>
      <c r="O85" s="16"/>
      <c r="P85" s="16"/>
      <c r="Q85" s="16"/>
      <c r="R85" s="16"/>
      <c r="S85" s="16"/>
      <c r="T85" s="16"/>
      <c r="U85" s="16"/>
      <c r="V85" s="143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BD85" s="86"/>
    </row>
    <row r="86" spans="1:59" ht="15" customHeight="1" x14ac:dyDescent="0.6">
      <c r="A86" s="84"/>
      <c r="B86" s="60">
        <v>147682</v>
      </c>
      <c r="C86" s="65" t="s">
        <v>511</v>
      </c>
      <c r="D86" s="28" t="s">
        <v>76</v>
      </c>
      <c r="F86" s="7"/>
      <c r="H86" s="29" t="s">
        <v>182</v>
      </c>
      <c r="N86" s="47"/>
      <c r="O86" s="16"/>
      <c r="P86" s="16"/>
      <c r="Q86" s="16"/>
      <c r="R86" s="16"/>
      <c r="S86" s="16"/>
      <c r="T86" s="16"/>
      <c r="U86" s="16"/>
      <c r="V86" s="143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BD86" s="86"/>
    </row>
    <row r="87" spans="1:59" ht="15" customHeight="1" x14ac:dyDescent="0.6">
      <c r="A87" s="84"/>
      <c r="B87" s="60">
        <v>147770</v>
      </c>
      <c r="C87" s="65" t="s">
        <v>508</v>
      </c>
      <c r="D87" s="28" t="s">
        <v>76</v>
      </c>
      <c r="F87" s="7"/>
      <c r="H87" s="29" t="s">
        <v>182</v>
      </c>
      <c r="N87" s="47"/>
      <c r="O87" s="16"/>
      <c r="P87" s="16"/>
      <c r="Q87" s="16"/>
      <c r="R87" s="16"/>
      <c r="S87" s="16"/>
      <c r="T87" s="16"/>
      <c r="U87" s="16"/>
      <c r="V87" s="143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BD87" s="86"/>
    </row>
    <row r="88" spans="1:59" ht="15" customHeight="1" x14ac:dyDescent="0.6">
      <c r="A88" s="84"/>
      <c r="B88" s="60">
        <v>147710</v>
      </c>
      <c r="C88" s="65" t="s">
        <v>505</v>
      </c>
      <c r="D88" s="28" t="s">
        <v>76</v>
      </c>
      <c r="F88" s="7"/>
      <c r="H88" s="29" t="s">
        <v>182</v>
      </c>
      <c r="N88" s="47"/>
      <c r="O88" s="16"/>
      <c r="P88" s="16"/>
      <c r="Q88" s="16"/>
      <c r="R88" s="16"/>
      <c r="S88" s="16"/>
      <c r="T88" s="16"/>
      <c r="U88" s="16"/>
      <c r="V88" s="143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BD88" s="86"/>
    </row>
    <row r="89" spans="1:59" ht="15" customHeight="1" x14ac:dyDescent="0.6">
      <c r="A89" s="84"/>
      <c r="B89" s="60">
        <v>147751</v>
      </c>
      <c r="C89" s="65" t="s">
        <v>500</v>
      </c>
      <c r="D89" s="28" t="s">
        <v>76</v>
      </c>
      <c r="F89" s="7"/>
      <c r="H89" s="29" t="s">
        <v>182</v>
      </c>
      <c r="N89" s="47"/>
      <c r="O89" s="16"/>
      <c r="P89" s="16"/>
      <c r="Q89" s="16"/>
      <c r="R89" s="16"/>
      <c r="S89" s="16"/>
      <c r="T89" s="16"/>
      <c r="U89" s="16"/>
      <c r="V89" s="143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BD89" s="86"/>
    </row>
    <row r="90" spans="1:59" ht="15" customHeight="1" x14ac:dyDescent="0.6">
      <c r="A90" s="84"/>
      <c r="B90" s="60">
        <v>147750</v>
      </c>
      <c r="C90" s="65" t="s">
        <v>501</v>
      </c>
      <c r="D90" s="28" t="s">
        <v>76</v>
      </c>
      <c r="F90" s="7"/>
      <c r="H90" s="29" t="s">
        <v>182</v>
      </c>
      <c r="N90" s="47"/>
      <c r="O90" s="16"/>
      <c r="P90" s="16"/>
      <c r="Q90" s="16"/>
      <c r="R90" s="16"/>
      <c r="S90" s="16"/>
      <c r="T90" s="16"/>
      <c r="U90" s="16"/>
      <c r="V90" s="143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BD90" s="86"/>
    </row>
    <row r="91" spans="1:59" ht="15" customHeight="1" x14ac:dyDescent="0.6">
      <c r="A91" s="84"/>
      <c r="B91" s="60">
        <v>147749</v>
      </c>
      <c r="C91" s="65" t="s">
        <v>502</v>
      </c>
      <c r="D91" s="28" t="s">
        <v>76</v>
      </c>
      <c r="F91" s="7"/>
      <c r="H91" s="29" t="s">
        <v>182</v>
      </c>
      <c r="N91" s="47"/>
      <c r="O91" s="16"/>
      <c r="P91" s="16"/>
      <c r="Q91" s="16"/>
      <c r="R91" s="16"/>
      <c r="S91" s="16"/>
      <c r="T91" s="16"/>
      <c r="U91" s="16"/>
      <c r="V91" s="143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BD91" s="86"/>
    </row>
    <row r="92" spans="1:59" ht="15" customHeight="1" x14ac:dyDescent="0.6">
      <c r="A92" s="84"/>
      <c r="B92" s="60">
        <v>147749</v>
      </c>
      <c r="C92" s="65" t="s">
        <v>503</v>
      </c>
      <c r="D92" s="28" t="s">
        <v>76</v>
      </c>
      <c r="F92" s="7"/>
      <c r="H92" s="29" t="s">
        <v>182</v>
      </c>
      <c r="N92" s="47"/>
      <c r="O92" s="16"/>
      <c r="P92" s="16"/>
      <c r="Q92" s="16"/>
      <c r="R92" s="16"/>
      <c r="S92" s="16"/>
      <c r="T92" s="16"/>
      <c r="U92" s="16"/>
      <c r="V92" s="143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BD92" s="86"/>
    </row>
    <row r="93" spans="1:59" ht="15" customHeight="1" x14ac:dyDescent="0.6">
      <c r="A93" s="84"/>
      <c r="B93" s="60">
        <v>147741</v>
      </c>
      <c r="C93" s="65" t="s">
        <v>504</v>
      </c>
      <c r="D93" s="28" t="s">
        <v>76</v>
      </c>
      <c r="F93" s="7"/>
      <c r="H93" s="29" t="s">
        <v>182</v>
      </c>
      <c r="N93" s="47"/>
      <c r="O93" s="16"/>
      <c r="P93" s="16"/>
      <c r="Q93" s="16"/>
      <c r="R93" s="16"/>
      <c r="S93" s="16"/>
      <c r="T93" s="16"/>
      <c r="U93" s="16"/>
      <c r="V93" s="143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BD93" s="86"/>
    </row>
    <row r="94" spans="1:59" ht="15.6" x14ac:dyDescent="0.6">
      <c r="A94" s="84"/>
      <c r="B94" s="84">
        <v>147851</v>
      </c>
      <c r="C94" s="84" t="s">
        <v>220</v>
      </c>
      <c r="D94" s="28" t="s">
        <v>221</v>
      </c>
      <c r="E94" s="72"/>
      <c r="F94" s="72"/>
      <c r="G94" s="72"/>
      <c r="H94" s="29" t="s">
        <v>222</v>
      </c>
      <c r="I94" s="71"/>
      <c r="J94" s="114"/>
      <c r="K94" s="114"/>
      <c r="L94" s="114"/>
      <c r="M94" s="47"/>
      <c r="N94" s="47"/>
      <c r="O94" s="16"/>
      <c r="P94" s="16"/>
      <c r="Q94" s="16"/>
      <c r="R94" s="16"/>
      <c r="S94" s="16"/>
      <c r="T94" s="16"/>
      <c r="U94" s="16"/>
      <c r="V94" s="143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7"/>
      <c r="AZ94" s="7"/>
      <c r="BA94" s="7"/>
      <c r="BB94" s="116"/>
      <c r="BC94" s="116"/>
      <c r="BD94" s="86" t="str">
        <f t="shared" ref="BD94" si="19">IF(N94&gt;60%,"YES","No")</f>
        <v>No</v>
      </c>
      <c r="BE94" s="76" t="str">
        <f t="shared" ref="BE94" si="20">C94</f>
        <v>Leesburg FEMC</v>
      </c>
      <c r="BF94" s="87" t="str">
        <f t="shared" ref="BF94" si="21">H94</f>
        <v>Cory Griffin</v>
      </c>
      <c r="BG94" s="87" t="str">
        <f t="shared" ref="BG94" si="22">IF(AZ94&gt;65%,"No need to contact","need to contact")</f>
        <v>need to contact</v>
      </c>
    </row>
    <row r="95" spans="1:59" ht="15.6" x14ac:dyDescent="0.6">
      <c r="A95" s="84"/>
      <c r="B95" s="84">
        <v>147888</v>
      </c>
      <c r="C95" s="84" t="s">
        <v>223</v>
      </c>
      <c r="D95" s="28" t="s">
        <v>82</v>
      </c>
      <c r="E95" s="72"/>
      <c r="F95" s="71"/>
      <c r="G95" s="72"/>
      <c r="H95" s="29" t="s">
        <v>182</v>
      </c>
      <c r="I95" s="71"/>
      <c r="J95" s="114"/>
      <c r="K95" s="114"/>
      <c r="L95" s="114"/>
      <c r="M95" s="47"/>
      <c r="N95" s="47"/>
      <c r="O95" s="16"/>
      <c r="P95" s="16"/>
      <c r="Q95" s="16"/>
      <c r="R95" s="16"/>
      <c r="S95" s="5"/>
      <c r="T95" s="109"/>
      <c r="U95" s="109"/>
      <c r="V95" s="109"/>
      <c r="W95" s="46"/>
      <c r="X95" s="5"/>
      <c r="Y95" s="110"/>
      <c r="Z95" s="110"/>
      <c r="AA95" s="110"/>
      <c r="AB95" s="110"/>
      <c r="AC95" s="16"/>
      <c r="AD95" s="16"/>
      <c r="AE95" s="16"/>
      <c r="AF95" s="16"/>
      <c r="AG95" s="111"/>
      <c r="AH95" s="112"/>
      <c r="AI95" s="15"/>
      <c r="AJ95" s="1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85"/>
      <c r="AZ95" s="46"/>
      <c r="BA95" s="85"/>
      <c r="BB95" s="116"/>
      <c r="BC95" s="116"/>
      <c r="BD95" s="86"/>
      <c r="BF95" s="87"/>
      <c r="BG95" s="87"/>
    </row>
    <row r="96" spans="1:59" ht="15.6" x14ac:dyDescent="0.6">
      <c r="A96" s="84"/>
      <c r="B96" s="84">
        <v>147896</v>
      </c>
      <c r="C96" s="84" t="s">
        <v>224</v>
      </c>
      <c r="D96" s="28" t="s">
        <v>82</v>
      </c>
      <c r="E96" s="72"/>
      <c r="F96" s="71"/>
      <c r="G96" s="72"/>
      <c r="H96" s="29" t="s">
        <v>182</v>
      </c>
      <c r="I96" s="71"/>
      <c r="J96" s="114"/>
      <c r="K96" s="114"/>
      <c r="L96" s="114"/>
      <c r="M96" s="47"/>
      <c r="N96" s="47"/>
      <c r="O96" s="16"/>
      <c r="P96" s="16"/>
      <c r="Q96" s="16"/>
      <c r="R96" s="16"/>
      <c r="S96" s="5"/>
      <c r="T96" s="109"/>
      <c r="U96" s="109"/>
      <c r="V96" s="109"/>
      <c r="W96" s="46"/>
      <c r="X96" s="5"/>
      <c r="Y96" s="110"/>
      <c r="Z96" s="110"/>
      <c r="AA96" s="110"/>
      <c r="AB96" s="110"/>
      <c r="AC96" s="16"/>
      <c r="AD96" s="16"/>
      <c r="AE96" s="16"/>
      <c r="AF96" s="16"/>
      <c r="AG96" s="111"/>
      <c r="AH96" s="112"/>
      <c r="AI96" s="15"/>
      <c r="AJ96" s="1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85"/>
      <c r="AZ96" s="46"/>
      <c r="BA96" s="85"/>
      <c r="BB96" s="116"/>
      <c r="BC96" s="116"/>
      <c r="BD96" s="86"/>
      <c r="BF96" s="87"/>
      <c r="BG96" s="87"/>
    </row>
    <row r="97" spans="1:59" ht="15.6" x14ac:dyDescent="0.6">
      <c r="A97" s="84"/>
      <c r="B97" s="84">
        <v>147889</v>
      </c>
      <c r="C97" s="84" t="s">
        <v>225</v>
      </c>
      <c r="D97" s="28" t="s">
        <v>82</v>
      </c>
      <c r="E97" s="72"/>
      <c r="F97" s="71"/>
      <c r="G97" s="72"/>
      <c r="H97" s="29" t="s">
        <v>182</v>
      </c>
      <c r="I97" s="71"/>
      <c r="J97" s="114"/>
      <c r="K97" s="114"/>
      <c r="L97" s="114"/>
      <c r="M97" s="47"/>
      <c r="N97" s="47"/>
      <c r="O97" s="16"/>
      <c r="P97" s="16"/>
      <c r="Q97" s="16"/>
      <c r="R97" s="16"/>
      <c r="S97" s="5"/>
      <c r="T97" s="109"/>
      <c r="U97" s="109"/>
      <c r="V97" s="109"/>
      <c r="W97" s="46"/>
      <c r="X97" s="5"/>
      <c r="Y97" s="110"/>
      <c r="Z97" s="110"/>
      <c r="AA97" s="110"/>
      <c r="AB97" s="110"/>
      <c r="AC97" s="16"/>
      <c r="AD97" s="16"/>
      <c r="AE97" s="16"/>
      <c r="AF97" s="16"/>
      <c r="AG97" s="111"/>
      <c r="AH97" s="112"/>
      <c r="AI97" s="15"/>
      <c r="AJ97" s="1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85"/>
      <c r="AZ97" s="46"/>
      <c r="BA97" s="85"/>
      <c r="BB97" s="116"/>
      <c r="BC97" s="116"/>
      <c r="BD97" s="86"/>
      <c r="BF97" s="87"/>
      <c r="BG97" s="87"/>
    </row>
    <row r="98" spans="1:59" ht="15.6" x14ac:dyDescent="0.6">
      <c r="A98" s="84"/>
      <c r="B98" s="84">
        <v>147772</v>
      </c>
      <c r="C98" s="84" t="s">
        <v>226</v>
      </c>
      <c r="D98" s="28" t="s">
        <v>82</v>
      </c>
      <c r="E98" s="72"/>
      <c r="F98" s="71"/>
      <c r="G98" s="72"/>
      <c r="H98" s="29" t="s">
        <v>182</v>
      </c>
      <c r="I98" s="71"/>
      <c r="J98" s="114"/>
      <c r="K98" s="114"/>
      <c r="L98" s="114"/>
      <c r="M98" s="47"/>
      <c r="N98" s="47"/>
      <c r="O98" s="16"/>
      <c r="P98" s="16"/>
      <c r="Q98" s="16"/>
      <c r="R98" s="16"/>
      <c r="S98" s="5"/>
      <c r="T98" s="109"/>
      <c r="U98" s="109"/>
      <c r="V98" s="109"/>
      <c r="W98" s="46"/>
      <c r="X98" s="5"/>
      <c r="Y98" s="110"/>
      <c r="Z98" s="110"/>
      <c r="AA98" s="110"/>
      <c r="AB98" s="110"/>
      <c r="AC98" s="16"/>
      <c r="AD98" s="16"/>
      <c r="AE98" s="16"/>
      <c r="AF98" s="16"/>
      <c r="AG98" s="111"/>
      <c r="AH98" s="112"/>
      <c r="AI98" s="15"/>
      <c r="AJ98" s="1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85"/>
      <c r="AZ98" s="46"/>
      <c r="BA98" s="85"/>
      <c r="BB98" s="116"/>
      <c r="BC98" s="116"/>
      <c r="BD98" s="86"/>
      <c r="BF98" s="87"/>
      <c r="BG98" s="87"/>
    </row>
    <row r="99" spans="1:59" ht="15.6" x14ac:dyDescent="0.6">
      <c r="A99" s="84"/>
      <c r="B99" s="84">
        <v>147771</v>
      </c>
      <c r="C99" s="84" t="s">
        <v>227</v>
      </c>
      <c r="D99" s="28" t="s">
        <v>82</v>
      </c>
      <c r="E99" s="72"/>
      <c r="F99" s="71"/>
      <c r="G99" s="72"/>
      <c r="H99" s="29" t="s">
        <v>182</v>
      </c>
      <c r="I99" s="71"/>
      <c r="J99" s="114"/>
      <c r="K99" s="114"/>
      <c r="L99" s="114"/>
      <c r="M99" s="47"/>
      <c r="N99" s="47"/>
      <c r="O99" s="16"/>
      <c r="P99" s="16"/>
      <c r="Q99" s="16"/>
      <c r="R99" s="16"/>
      <c r="S99" s="5"/>
      <c r="T99" s="109"/>
      <c r="U99" s="109"/>
      <c r="V99" s="109"/>
      <c r="W99" s="46"/>
      <c r="X99" s="5"/>
      <c r="Y99" s="110"/>
      <c r="Z99" s="110"/>
      <c r="AA99" s="110"/>
      <c r="AB99" s="110"/>
      <c r="AC99" s="16"/>
      <c r="AD99" s="16"/>
      <c r="AE99" s="16"/>
      <c r="AF99" s="16"/>
      <c r="AG99" s="111"/>
      <c r="AH99" s="112"/>
      <c r="AI99" s="15"/>
      <c r="AJ99" s="1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85"/>
      <c r="AZ99" s="46"/>
      <c r="BA99" s="85"/>
      <c r="BB99" s="116"/>
      <c r="BC99" s="116"/>
      <c r="BD99" s="86"/>
      <c r="BF99" s="87"/>
      <c r="BG99" s="87"/>
    </row>
    <row r="100" spans="1:59" ht="15.6" x14ac:dyDescent="0.6">
      <c r="A100" s="84"/>
      <c r="B100" s="84">
        <v>147858</v>
      </c>
      <c r="C100" s="84" t="s">
        <v>228</v>
      </c>
      <c r="D100" s="28" t="s">
        <v>82</v>
      </c>
      <c r="E100" s="72"/>
      <c r="F100" s="71"/>
      <c r="G100" s="72"/>
      <c r="H100" s="29" t="s">
        <v>182</v>
      </c>
      <c r="I100" s="71"/>
      <c r="J100" s="114"/>
      <c r="K100" s="114"/>
      <c r="L100" s="114"/>
      <c r="M100" s="47"/>
      <c r="N100" s="47"/>
      <c r="O100" s="16"/>
      <c r="P100" s="16"/>
      <c r="Q100" s="16"/>
      <c r="R100" s="16"/>
      <c r="S100" s="5"/>
      <c r="T100" s="109"/>
      <c r="U100" s="109"/>
      <c r="V100" s="109"/>
      <c r="W100" s="46"/>
      <c r="X100" s="5"/>
      <c r="Y100" s="110"/>
      <c r="Z100" s="110"/>
      <c r="AA100" s="110"/>
      <c r="AB100" s="110"/>
      <c r="AC100" s="16"/>
      <c r="AD100" s="16"/>
      <c r="AE100" s="16"/>
      <c r="AF100" s="16"/>
      <c r="AG100" s="111"/>
      <c r="AH100" s="112"/>
      <c r="AI100" s="15"/>
      <c r="AJ100" s="1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85"/>
      <c r="AZ100" s="46"/>
      <c r="BA100" s="85"/>
      <c r="BB100" s="116"/>
      <c r="BC100" s="116"/>
      <c r="BD100" s="86"/>
      <c r="BF100" s="87"/>
      <c r="BG100" s="87"/>
    </row>
    <row r="101" spans="1:59" ht="14.1" customHeight="1" x14ac:dyDescent="0.6">
      <c r="A101" s="60"/>
      <c r="B101" s="84">
        <v>147864</v>
      </c>
      <c r="C101" s="76" t="s">
        <v>229</v>
      </c>
      <c r="D101" s="71" t="s">
        <v>76</v>
      </c>
      <c r="E101" s="1"/>
      <c r="F101" s="7"/>
      <c r="G101" s="113"/>
      <c r="H101" s="72" t="s">
        <v>222</v>
      </c>
      <c r="I101" s="71"/>
      <c r="J101" s="86"/>
      <c r="L101" s="5"/>
      <c r="M101" s="15"/>
      <c r="N101" s="47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85"/>
      <c r="AZ101" s="46"/>
      <c r="BA101" s="85"/>
      <c r="BB101" s="33"/>
      <c r="BC101" s="33"/>
      <c r="BD101" s="86" t="str">
        <f t="shared" ref="BD101:BD110" si="23">IF(N101&gt;60%,"YES","No")</f>
        <v>No</v>
      </c>
      <c r="BF101" s="87"/>
      <c r="BG101" s="87"/>
    </row>
    <row r="102" spans="1:59" ht="15.6" x14ac:dyDescent="0.6">
      <c r="A102" s="84"/>
      <c r="B102" s="84">
        <v>147590.00099999999</v>
      </c>
      <c r="C102" s="84" t="s">
        <v>230</v>
      </c>
      <c r="D102" s="71"/>
      <c r="E102" s="72" t="s">
        <v>231</v>
      </c>
      <c r="F102" s="72"/>
      <c r="G102" s="72"/>
      <c r="H102" s="72" t="s">
        <v>232</v>
      </c>
      <c r="I102" s="71"/>
      <c r="J102" s="114"/>
      <c r="K102" s="114"/>
      <c r="L102" s="114"/>
      <c r="M102" s="47"/>
      <c r="N102" s="47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7"/>
      <c r="AZ102" s="7"/>
      <c r="BA102" s="7"/>
      <c r="BB102" s="116"/>
      <c r="BC102" s="116"/>
      <c r="BD102" s="86" t="str">
        <f t="shared" si="23"/>
        <v>No</v>
      </c>
      <c r="BE102" s="76" t="str">
        <f t="shared" ref="BE102:BE110" si="24">C102</f>
        <v>MCA 3 North- Exam Room</v>
      </c>
      <c r="BF102" s="76" t="str">
        <f t="shared" ref="BF102:BF110" si="25">H102</f>
        <v>Whitney, Kelly</v>
      </c>
      <c r="BG102" s="76" t="str">
        <f t="shared" si="12"/>
        <v>need to contact</v>
      </c>
    </row>
    <row r="103" spans="1:59" ht="15.6" x14ac:dyDescent="0.6">
      <c r="A103" s="84"/>
      <c r="B103" s="84">
        <v>147774</v>
      </c>
      <c r="C103" s="84" t="s">
        <v>233</v>
      </c>
      <c r="D103" s="71"/>
      <c r="E103" s="72" t="s">
        <v>188</v>
      </c>
      <c r="F103" s="72"/>
      <c r="G103" s="72"/>
      <c r="H103" s="72" t="s">
        <v>234</v>
      </c>
      <c r="I103" s="71"/>
      <c r="J103" s="114"/>
      <c r="K103" s="114"/>
      <c r="L103" s="114"/>
      <c r="M103" s="47"/>
      <c r="N103" s="47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7"/>
      <c r="AZ103" s="7"/>
      <c r="BA103" s="7"/>
      <c r="BB103" s="116"/>
      <c r="BC103" s="116"/>
      <c r="BD103" s="86" t="str">
        <f t="shared" si="23"/>
        <v>No</v>
      </c>
      <c r="BE103" s="76" t="str">
        <f t="shared" si="24"/>
        <v>Renown Health 2024 Master Plan</v>
      </c>
      <c r="BF103" s="76" t="str">
        <f t="shared" si="25"/>
        <v>Dias, Ashley</v>
      </c>
      <c r="BG103" s="76" t="str">
        <f t="shared" si="12"/>
        <v>need to contact</v>
      </c>
    </row>
    <row r="104" spans="1:59" ht="15.6" x14ac:dyDescent="0.6">
      <c r="A104" s="84"/>
      <c r="B104" s="84">
        <v>147776</v>
      </c>
      <c r="C104" s="84" t="s">
        <v>235</v>
      </c>
      <c r="D104" s="71"/>
      <c r="E104" s="72" t="s">
        <v>186</v>
      </c>
      <c r="F104" s="72"/>
      <c r="G104" s="72"/>
      <c r="H104" s="72" t="s">
        <v>236</v>
      </c>
      <c r="I104" s="71"/>
      <c r="J104" s="114"/>
      <c r="K104" s="114"/>
      <c r="L104" s="114"/>
      <c r="M104" s="47"/>
      <c r="N104" s="47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7"/>
      <c r="AZ104" s="7"/>
      <c r="BA104" s="7"/>
      <c r="BB104" s="116"/>
      <c r="BC104" s="116"/>
      <c r="BD104" s="86" t="str">
        <f t="shared" si="23"/>
        <v>No</v>
      </c>
      <c r="BE104" s="76" t="str">
        <f t="shared" si="24"/>
        <v>BSWI AHU Replacement</v>
      </c>
      <c r="BF104" s="76" t="str">
        <f t="shared" si="25"/>
        <v>Sinnett, Ian</v>
      </c>
      <c r="BG104" s="76" t="str">
        <f t="shared" si="12"/>
        <v>need to contact</v>
      </c>
    </row>
    <row r="105" spans="1:59" ht="15.6" x14ac:dyDescent="0.6">
      <c r="A105" s="84"/>
      <c r="B105" s="84">
        <v>147777</v>
      </c>
      <c r="C105" s="84" t="s">
        <v>237</v>
      </c>
      <c r="D105" s="71"/>
      <c r="E105" s="72" t="s">
        <v>186</v>
      </c>
      <c r="F105" s="72"/>
      <c r="G105" s="72"/>
      <c r="H105" s="72" t="s">
        <v>236</v>
      </c>
      <c r="I105" s="71"/>
      <c r="J105" s="114"/>
      <c r="K105" s="114"/>
      <c r="L105" s="114"/>
      <c r="M105" s="47"/>
      <c r="N105" s="47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7"/>
      <c r="AZ105" s="7"/>
      <c r="BA105" s="7"/>
      <c r="BB105" s="116"/>
      <c r="BC105" s="116"/>
      <c r="BD105" s="86" t="str">
        <f t="shared" si="23"/>
        <v>No</v>
      </c>
      <c r="BE105" s="76" t="str">
        <f t="shared" si="24"/>
        <v>BSWH Plano - Sterilizer Replacement</v>
      </c>
      <c r="BF105" s="76" t="str">
        <f t="shared" si="25"/>
        <v>Sinnett, Ian</v>
      </c>
      <c r="BG105" s="76" t="str">
        <f t="shared" si="12"/>
        <v>need to contact</v>
      </c>
    </row>
    <row r="106" spans="1:59" ht="15.6" x14ac:dyDescent="0.6">
      <c r="A106" s="84"/>
      <c r="B106" s="84">
        <v>147782</v>
      </c>
      <c r="C106" s="84" t="s">
        <v>238</v>
      </c>
      <c r="D106" s="71"/>
      <c r="E106" s="72" t="s">
        <v>186</v>
      </c>
      <c r="F106" s="72"/>
      <c r="G106" s="72"/>
      <c r="H106" s="72" t="s">
        <v>234</v>
      </c>
      <c r="I106" s="71"/>
      <c r="J106" s="114"/>
      <c r="K106" s="114"/>
      <c r="L106" s="114"/>
      <c r="M106" s="47"/>
      <c r="N106" s="47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7"/>
      <c r="AZ106" s="7"/>
      <c r="BA106" s="7"/>
      <c r="BB106" s="116"/>
      <c r="BC106" s="116"/>
      <c r="BD106" s="86" t="str">
        <f t="shared" si="23"/>
        <v>No</v>
      </c>
      <c r="BE106" s="76" t="str">
        <f t="shared" si="24"/>
        <v>BSWM Master Plan</v>
      </c>
      <c r="BF106" s="76" t="str">
        <f t="shared" si="25"/>
        <v>Dias, Ashley</v>
      </c>
      <c r="BG106" s="76" t="str">
        <f t="shared" si="12"/>
        <v>need to contact</v>
      </c>
    </row>
    <row r="107" spans="1:59" ht="15.6" x14ac:dyDescent="0.6">
      <c r="A107" s="84"/>
      <c r="B107" s="84">
        <v>147783</v>
      </c>
      <c r="C107" s="84" t="s">
        <v>239</v>
      </c>
      <c r="D107" s="71"/>
      <c r="E107" s="72" t="s">
        <v>186</v>
      </c>
      <c r="F107" s="72"/>
      <c r="G107" s="72"/>
      <c r="H107" s="72" t="s">
        <v>236</v>
      </c>
      <c r="I107" s="71"/>
      <c r="J107" s="114"/>
      <c r="K107" s="114"/>
      <c r="L107" s="114"/>
      <c r="M107" s="47"/>
      <c r="N107" s="47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7"/>
      <c r="AZ107" s="7"/>
      <c r="BA107" s="7"/>
      <c r="BB107" s="116"/>
      <c r="BC107" s="116"/>
      <c r="BD107" s="86" t="str">
        <f t="shared" si="23"/>
        <v>No</v>
      </c>
      <c r="BE107" s="76" t="str">
        <f t="shared" si="24"/>
        <v>BSWI Rad Room Replacement</v>
      </c>
      <c r="BF107" s="76" t="str">
        <f t="shared" si="25"/>
        <v>Sinnett, Ian</v>
      </c>
      <c r="BG107" s="76" t="str">
        <f t="shared" si="12"/>
        <v>need to contact</v>
      </c>
    </row>
    <row r="108" spans="1:59" ht="15.6" x14ac:dyDescent="0.6">
      <c r="A108" s="84"/>
      <c r="B108" s="84">
        <v>147787</v>
      </c>
      <c r="C108" s="84" t="s">
        <v>240</v>
      </c>
      <c r="D108" s="71"/>
      <c r="E108" s="72" t="s">
        <v>241</v>
      </c>
      <c r="F108" s="72"/>
      <c r="G108" s="72"/>
      <c r="H108" s="72" t="s">
        <v>236</v>
      </c>
      <c r="I108" s="71"/>
      <c r="J108" s="114"/>
      <c r="K108" s="114"/>
      <c r="L108" s="114"/>
      <c r="M108" s="47"/>
      <c r="N108" s="47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7"/>
      <c r="AZ108" s="7"/>
      <c r="BA108" s="7"/>
      <c r="BB108" s="116"/>
      <c r="BC108" s="116"/>
      <c r="BD108" s="86" t="str">
        <f t="shared" si="23"/>
        <v>No</v>
      </c>
      <c r="BE108" s="76" t="str">
        <f t="shared" si="24"/>
        <v>BSWH Plano - Brain &amp; Spine Suite 800 Ren</v>
      </c>
      <c r="BF108" s="76" t="str">
        <f t="shared" si="25"/>
        <v>Sinnett, Ian</v>
      </c>
      <c r="BG108" s="76" t="str">
        <f t="shared" si="12"/>
        <v>need to contact</v>
      </c>
    </row>
    <row r="109" spans="1:59" ht="15.6" x14ac:dyDescent="0.6">
      <c r="A109" s="84"/>
      <c r="B109" s="84">
        <v>147793</v>
      </c>
      <c r="C109" s="84" t="s">
        <v>242</v>
      </c>
      <c r="D109" s="71"/>
      <c r="E109" s="72" t="s">
        <v>186</v>
      </c>
      <c r="F109" s="72"/>
      <c r="G109" s="72"/>
      <c r="H109" s="72" t="s">
        <v>243</v>
      </c>
      <c r="I109" s="71"/>
      <c r="J109" s="114"/>
      <c r="K109" s="114"/>
      <c r="L109" s="114"/>
      <c r="M109" s="47"/>
      <c r="N109" s="47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7"/>
      <c r="AZ109" s="7"/>
      <c r="BA109" s="7"/>
      <c r="BB109" s="116"/>
      <c r="BC109" s="116"/>
      <c r="BD109" s="86" t="str">
        <f t="shared" si="23"/>
        <v>No</v>
      </c>
      <c r="BE109" s="76" t="str">
        <f t="shared" si="24"/>
        <v>THCDS Seay Center-Doors</v>
      </c>
      <c r="BF109" s="76" t="str">
        <f t="shared" si="25"/>
        <v>Collins, David</v>
      </c>
      <c r="BG109" s="76" t="str">
        <f t="shared" si="12"/>
        <v>need to contact</v>
      </c>
    </row>
    <row r="110" spans="1:59" ht="15.6" x14ac:dyDescent="0.6">
      <c r="A110" s="84"/>
      <c r="B110" s="84">
        <v>147794</v>
      </c>
      <c r="C110" s="84" t="s">
        <v>244</v>
      </c>
      <c r="D110" s="71"/>
      <c r="E110" s="72" t="s">
        <v>245</v>
      </c>
      <c r="F110" s="72"/>
      <c r="G110" s="72"/>
      <c r="H110" s="72" t="s">
        <v>243</v>
      </c>
      <c r="I110" s="71"/>
      <c r="J110" s="114"/>
      <c r="K110" s="114"/>
      <c r="L110" s="114"/>
      <c r="M110" s="47"/>
      <c r="N110" s="47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7"/>
      <c r="AZ110" s="7"/>
      <c r="BA110" s="7"/>
      <c r="BB110" s="116"/>
      <c r="BC110" s="116"/>
      <c r="BD110" s="86" t="str">
        <f t="shared" si="23"/>
        <v>No</v>
      </c>
      <c r="BE110" s="76" t="str">
        <f t="shared" si="24"/>
        <v>MHS: Corporate Office POB Study</v>
      </c>
      <c r="BF110" s="76" t="str">
        <f t="shared" si="25"/>
        <v>Collins, David</v>
      </c>
      <c r="BG110" s="76" t="str">
        <f t="shared" si="12"/>
        <v>need to contact</v>
      </c>
    </row>
    <row r="111" spans="1:59" ht="15.6" x14ac:dyDescent="0.6">
      <c r="A111" s="84"/>
      <c r="B111" s="84">
        <v>147891</v>
      </c>
      <c r="C111" s="84" t="s">
        <v>246</v>
      </c>
      <c r="D111" s="28" t="s">
        <v>76</v>
      </c>
      <c r="E111" s="72"/>
      <c r="F111" s="72"/>
      <c r="G111" s="72"/>
      <c r="H111" s="72" t="s">
        <v>245</v>
      </c>
      <c r="I111" s="71"/>
      <c r="J111" s="114"/>
      <c r="K111" s="114"/>
      <c r="L111" s="114"/>
      <c r="M111" s="47"/>
      <c r="N111" s="47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7"/>
      <c r="AZ111" s="7"/>
      <c r="BA111" s="7"/>
      <c r="BB111" s="116"/>
      <c r="BC111" s="116"/>
      <c r="BD111" s="86"/>
    </row>
    <row r="112" spans="1:59" ht="15.6" x14ac:dyDescent="0.6">
      <c r="A112" s="84"/>
      <c r="B112" s="84">
        <v>147930</v>
      </c>
      <c r="C112" s="84" t="s">
        <v>247</v>
      </c>
      <c r="D112" s="28" t="s">
        <v>76</v>
      </c>
      <c r="E112" s="72"/>
      <c r="F112" s="72"/>
      <c r="G112" s="72"/>
      <c r="H112" s="72" t="s">
        <v>245</v>
      </c>
      <c r="I112" s="71"/>
      <c r="J112" s="114"/>
      <c r="K112" s="114"/>
      <c r="L112" s="114"/>
      <c r="M112" s="47"/>
      <c r="N112" s="47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7"/>
      <c r="AZ112" s="7"/>
      <c r="BA112" s="7"/>
      <c r="BB112" s="116"/>
      <c r="BC112" s="116"/>
      <c r="BD112" s="86"/>
    </row>
    <row r="113" spans="1:59" ht="15.6" x14ac:dyDescent="0.6">
      <c r="A113" s="84"/>
      <c r="B113" s="84">
        <v>147905</v>
      </c>
      <c r="C113" s="84" t="s">
        <v>248</v>
      </c>
      <c r="D113" s="28" t="s">
        <v>76</v>
      </c>
      <c r="E113" s="72"/>
      <c r="F113" s="72"/>
      <c r="G113" s="72"/>
      <c r="H113" s="72" t="s">
        <v>245</v>
      </c>
      <c r="I113" s="71"/>
      <c r="J113" s="114"/>
      <c r="K113" s="114"/>
      <c r="L113" s="114"/>
      <c r="M113" s="47"/>
      <c r="N113" s="47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7"/>
      <c r="AZ113" s="7"/>
      <c r="BA113" s="7"/>
      <c r="BB113" s="116"/>
      <c r="BC113" s="116"/>
      <c r="BD113" s="86"/>
    </row>
    <row r="114" spans="1:59" ht="15.6" x14ac:dyDescent="0.6">
      <c r="A114" s="84"/>
      <c r="B114" s="84">
        <v>147925</v>
      </c>
      <c r="C114" s="84" t="s">
        <v>249</v>
      </c>
      <c r="D114" s="28" t="s">
        <v>76</v>
      </c>
      <c r="E114" s="72"/>
      <c r="F114" s="72"/>
      <c r="G114" s="72"/>
      <c r="H114" s="72" t="s">
        <v>245</v>
      </c>
      <c r="I114" s="71"/>
      <c r="J114" s="114"/>
      <c r="K114" s="114"/>
      <c r="L114" s="114"/>
      <c r="M114" s="47"/>
      <c r="N114" s="47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7"/>
      <c r="AZ114" s="7"/>
      <c r="BA114" s="7"/>
      <c r="BB114" s="116"/>
      <c r="BC114" s="116"/>
      <c r="BD114" s="86"/>
    </row>
    <row r="115" spans="1:59" ht="15.6" x14ac:dyDescent="0.6">
      <c r="A115" s="84"/>
      <c r="B115" s="84">
        <v>147804</v>
      </c>
      <c r="C115" s="84" t="s">
        <v>250</v>
      </c>
      <c r="D115" s="28" t="s">
        <v>76</v>
      </c>
      <c r="E115" s="72" t="s">
        <v>245</v>
      </c>
      <c r="F115" s="72"/>
      <c r="G115" s="72"/>
      <c r="H115" s="72" t="s">
        <v>245</v>
      </c>
      <c r="I115" s="71"/>
      <c r="J115" s="114"/>
      <c r="K115" s="114"/>
      <c r="L115" s="114"/>
      <c r="M115" s="47"/>
      <c r="N115" s="47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7"/>
      <c r="AZ115" s="7"/>
      <c r="BA115" s="7"/>
      <c r="BB115" s="116"/>
      <c r="BC115" s="116"/>
      <c r="BD115" s="86" t="str">
        <f>IF(N115&gt;60%,"YES","No")</f>
        <v>No</v>
      </c>
      <c r="BE115" s="76" t="str">
        <f t="shared" ref="BE115:BE130" si="26">C115</f>
        <v>MDMC: Schenkel Tower Renovation</v>
      </c>
      <c r="BF115" s="76" t="str">
        <f>H115</f>
        <v>Roan, Mark</v>
      </c>
      <c r="BG115" s="76" t="str">
        <f t="shared" si="12"/>
        <v>need to contact</v>
      </c>
    </row>
    <row r="116" spans="1:59" ht="15.6" x14ac:dyDescent="0.6">
      <c r="A116" s="84"/>
      <c r="B116" s="84">
        <v>147804.00099999999</v>
      </c>
      <c r="C116" s="84" t="s">
        <v>251</v>
      </c>
      <c r="D116" s="28" t="s">
        <v>76</v>
      </c>
      <c r="E116" s="72" t="s">
        <v>245</v>
      </c>
      <c r="F116" s="72"/>
      <c r="G116" s="72"/>
      <c r="H116" s="72" t="s">
        <v>245</v>
      </c>
      <c r="I116" s="71"/>
      <c r="J116" s="114"/>
      <c r="K116" s="114"/>
      <c r="L116" s="114"/>
      <c r="M116" s="47"/>
      <c r="N116" s="47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7"/>
      <c r="AZ116" s="7"/>
      <c r="BA116" s="7"/>
      <c r="BB116" s="116"/>
      <c r="BC116" s="116"/>
      <c r="BD116" s="86" t="str">
        <f>IF(N116&gt;60%,"YES","No")</f>
        <v>No</v>
      </c>
      <c r="BE116" s="76" t="str">
        <f t="shared" si="26"/>
        <v>7th Floor Schenkel Tower Renovation</v>
      </c>
      <c r="BF116" s="76" t="str">
        <f>H116</f>
        <v>Roan, Mark</v>
      </c>
      <c r="BG116" s="76" t="str">
        <f t="shared" si="12"/>
        <v>need to contact</v>
      </c>
    </row>
    <row r="117" spans="1:59" ht="15.6" x14ac:dyDescent="0.6">
      <c r="A117" s="84"/>
      <c r="B117" s="84">
        <v>147804.00200000001</v>
      </c>
      <c r="C117" s="84" t="s">
        <v>252</v>
      </c>
      <c r="D117" s="28" t="s">
        <v>76</v>
      </c>
      <c r="E117" s="72" t="s">
        <v>245</v>
      </c>
      <c r="F117" s="72"/>
      <c r="G117" s="72"/>
      <c r="H117" s="72" t="s">
        <v>245</v>
      </c>
      <c r="I117" s="71"/>
      <c r="J117" s="114"/>
      <c r="K117" s="114"/>
      <c r="L117" s="114"/>
      <c r="M117" s="47"/>
      <c r="N117" s="47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7"/>
      <c r="AZ117" s="7"/>
      <c r="BA117" s="7"/>
      <c r="BB117" s="116"/>
      <c r="BC117" s="116"/>
      <c r="BD117" s="86" t="str">
        <f>IF(N117&gt;60%,"YES","No")</f>
        <v>No</v>
      </c>
      <c r="BE117" s="76" t="str">
        <f t="shared" si="26"/>
        <v>8th Floor Schenkel Tower Renovation (2024)</v>
      </c>
      <c r="BF117" s="76" t="str">
        <f>H117</f>
        <v>Roan, Mark</v>
      </c>
      <c r="BG117" s="76" t="str">
        <f t="shared" si="12"/>
        <v>need to contact</v>
      </c>
    </row>
    <row r="118" spans="1:59" ht="15.6" x14ac:dyDescent="0.6">
      <c r="A118" s="84"/>
      <c r="B118" s="84">
        <v>147804.003</v>
      </c>
      <c r="C118" s="84" t="s">
        <v>253</v>
      </c>
      <c r="D118" s="28" t="s">
        <v>76</v>
      </c>
      <c r="E118" s="72" t="s">
        <v>245</v>
      </c>
      <c r="F118" s="72"/>
      <c r="G118" s="72"/>
      <c r="H118" s="72" t="s">
        <v>245</v>
      </c>
      <c r="I118" s="71"/>
      <c r="J118" s="114"/>
      <c r="K118" s="114"/>
      <c r="L118" s="114"/>
      <c r="M118" s="47"/>
      <c r="N118" s="47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7"/>
      <c r="AZ118" s="7"/>
      <c r="BA118" s="7"/>
      <c r="BB118" s="116"/>
      <c r="BC118" s="116"/>
      <c r="BD118" s="86" t="str">
        <f>IF(N118&gt;60%,"YES","No")</f>
        <v>No</v>
      </c>
      <c r="BE118" s="76" t="str">
        <f t="shared" si="26"/>
        <v>10th Floor Schenkel Tower Renovation (2024)</v>
      </c>
      <c r="BF118" s="76" t="str">
        <f>H118</f>
        <v>Roan, Mark</v>
      </c>
      <c r="BG118" s="76" t="str">
        <f t="shared" si="12"/>
        <v>need to contact</v>
      </c>
    </row>
    <row r="119" spans="1:59" ht="15.6" x14ac:dyDescent="0.6">
      <c r="A119" s="84"/>
      <c r="B119" s="84">
        <v>147926</v>
      </c>
      <c r="C119" s="84" t="s">
        <v>254</v>
      </c>
      <c r="D119" s="28" t="s">
        <v>76</v>
      </c>
      <c r="E119" s="72"/>
      <c r="F119" s="72"/>
      <c r="G119" s="72"/>
      <c r="H119" s="72" t="s">
        <v>245</v>
      </c>
      <c r="I119" s="71"/>
      <c r="J119" s="114"/>
      <c r="K119" s="114"/>
      <c r="L119" s="114"/>
      <c r="M119" s="47"/>
      <c r="N119" s="47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7"/>
      <c r="AZ119" s="7"/>
      <c r="BA119" s="7"/>
      <c r="BB119" s="116"/>
      <c r="BC119" s="116"/>
      <c r="BD119" s="86"/>
      <c r="BE119" s="76" t="str">
        <f t="shared" si="26"/>
        <v>MMMC: ED X-Ray Equipment Replacement (small)</v>
      </c>
    </row>
    <row r="120" spans="1:59" ht="15.6" x14ac:dyDescent="0.6">
      <c r="A120" s="84"/>
      <c r="B120" s="84">
        <v>147892</v>
      </c>
      <c r="C120" s="84" t="s">
        <v>255</v>
      </c>
      <c r="D120" s="28" t="s">
        <v>76</v>
      </c>
      <c r="E120" s="72"/>
      <c r="F120" s="72"/>
      <c r="G120" s="72"/>
      <c r="H120" s="72" t="s">
        <v>245</v>
      </c>
      <c r="I120" s="71"/>
      <c r="J120" s="114"/>
      <c r="K120" s="114"/>
      <c r="L120" s="114"/>
      <c r="M120" s="47"/>
      <c r="N120" s="47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7"/>
      <c r="AZ120" s="7"/>
      <c r="BA120" s="7"/>
      <c r="BB120" s="116"/>
      <c r="BC120" s="116"/>
      <c r="BD120" s="86"/>
      <c r="BE120" s="76" t="str">
        <f t="shared" si="26"/>
        <v>MDMC: Outpatient Building Study</v>
      </c>
    </row>
    <row r="121" spans="1:59" ht="15.6" x14ac:dyDescent="0.6">
      <c r="A121" s="84"/>
      <c r="B121" s="84">
        <v>147738</v>
      </c>
      <c r="C121" s="84" t="s">
        <v>256</v>
      </c>
      <c r="D121" s="28" t="s">
        <v>76</v>
      </c>
      <c r="E121" s="72"/>
      <c r="F121" s="72"/>
      <c r="G121" s="72"/>
      <c r="H121" s="29" t="s">
        <v>203</v>
      </c>
      <c r="I121" s="71"/>
      <c r="J121" s="114"/>
      <c r="K121" s="114"/>
      <c r="L121" s="114"/>
      <c r="M121" s="47"/>
      <c r="N121" s="47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7"/>
      <c r="AZ121" s="7"/>
      <c r="BA121" s="7"/>
      <c r="BB121" s="116"/>
      <c r="BC121" s="116"/>
      <c r="BD121" s="86" t="str">
        <f t="shared" ref="BD121:BD130" si="27">IF(N121&gt;60%,"YES","No")</f>
        <v>No</v>
      </c>
      <c r="BE121" s="76" t="str">
        <f t="shared" si="26"/>
        <v>MMMC: SPD Cart Washer</v>
      </c>
      <c r="BF121" s="87" t="str">
        <f t="shared" ref="BF121:BF130" si="28">H121</f>
        <v>Mark Roan</v>
      </c>
      <c r="BG121" s="87" t="str">
        <f>IF(AZ121&gt;65%,"No need to contact","need to contact")</f>
        <v>need to contact</v>
      </c>
    </row>
    <row r="122" spans="1:59" ht="15.6" x14ac:dyDescent="0.6">
      <c r="A122" s="84"/>
      <c r="B122" s="84">
        <v>147760</v>
      </c>
      <c r="C122" s="84" t="s">
        <v>257</v>
      </c>
      <c r="D122" s="28" t="s">
        <v>76</v>
      </c>
      <c r="E122" s="72"/>
      <c r="F122" s="72"/>
      <c r="G122" s="72"/>
      <c r="H122" s="29" t="s">
        <v>203</v>
      </c>
      <c r="I122" s="71"/>
      <c r="J122" s="114"/>
      <c r="K122" s="114"/>
      <c r="L122" s="114"/>
      <c r="M122" s="47"/>
      <c r="N122" s="47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7"/>
      <c r="AZ122" s="7"/>
      <c r="BA122" s="7"/>
      <c r="BB122" s="116"/>
      <c r="BC122" s="116"/>
      <c r="BD122" s="86" t="str">
        <f t="shared" si="27"/>
        <v>No</v>
      </c>
      <c r="BE122" s="76" t="str">
        <f t="shared" si="26"/>
        <v xml:space="preserve">MMMC: </v>
      </c>
      <c r="BF122" s="87" t="str">
        <f t="shared" si="28"/>
        <v>Mark Roan</v>
      </c>
      <c r="BG122" s="87" t="str">
        <f>IF(AZ122&gt;65%,"No need to contact","need to contact")</f>
        <v>need to contact</v>
      </c>
    </row>
    <row r="123" spans="1:59" ht="15.6" x14ac:dyDescent="0.6">
      <c r="A123" s="84"/>
      <c r="B123" s="84">
        <v>147809</v>
      </c>
      <c r="C123" s="84" t="s">
        <v>258</v>
      </c>
      <c r="D123" s="28" t="s">
        <v>76</v>
      </c>
      <c r="E123" s="72"/>
      <c r="F123" s="71"/>
      <c r="G123" s="72"/>
      <c r="H123" s="29" t="s">
        <v>203</v>
      </c>
      <c r="I123" s="71"/>
      <c r="J123" s="114"/>
      <c r="K123" s="114"/>
      <c r="L123" s="114"/>
      <c r="M123" s="47"/>
      <c r="N123" s="47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7"/>
      <c r="AZ123" s="7"/>
      <c r="BA123" s="7"/>
      <c r="BB123" s="116"/>
      <c r="BC123" s="116"/>
      <c r="BD123" s="86" t="str">
        <f t="shared" si="27"/>
        <v>No</v>
      </c>
      <c r="BE123" s="76" t="str">
        <f t="shared" si="26"/>
        <v>MMMC: Fluoro Room1 equip repl</v>
      </c>
      <c r="BF123" s="87" t="str">
        <f t="shared" si="28"/>
        <v>Mark Roan</v>
      </c>
      <c r="BG123" s="87" t="str">
        <f>IF(AZ123&gt;65%,"No need to contact","need to contact")</f>
        <v>need to contact</v>
      </c>
    </row>
    <row r="124" spans="1:59" ht="15.6" x14ac:dyDescent="0.6">
      <c r="A124" s="84"/>
      <c r="B124" s="84">
        <v>147824</v>
      </c>
      <c r="C124" s="84" t="s">
        <v>259</v>
      </c>
      <c r="D124" s="28" t="s">
        <v>76</v>
      </c>
      <c r="E124" s="72"/>
      <c r="F124" s="72"/>
      <c r="G124" s="72"/>
      <c r="H124" s="29" t="s">
        <v>260</v>
      </c>
      <c r="I124" s="71"/>
      <c r="J124" s="114"/>
      <c r="K124" s="114"/>
      <c r="L124" s="114"/>
      <c r="M124" s="47"/>
      <c r="N124" s="47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7"/>
      <c r="AZ124" s="7"/>
      <c r="BA124" s="7"/>
      <c r="BB124" s="116"/>
      <c r="BC124" s="116"/>
      <c r="BD124" s="86" t="str">
        <f t="shared" si="27"/>
        <v>No</v>
      </c>
      <c r="BE124" s="76" t="str">
        <f t="shared" si="26"/>
        <v>MMMC: OBGYN OR Rennovation</v>
      </c>
      <c r="BF124" s="76" t="str">
        <f t="shared" si="28"/>
        <v>Mark Roan/Austin Madrigal</v>
      </c>
      <c r="BG124" s="76" t="str">
        <f>IF(AZ124&gt;65%,"No need to contact","need to contact")</f>
        <v>need to contact</v>
      </c>
    </row>
    <row r="125" spans="1:59" ht="15.6" x14ac:dyDescent="0.6">
      <c r="A125" s="84"/>
      <c r="B125" s="84">
        <v>147804</v>
      </c>
      <c r="C125" s="84" t="s">
        <v>261</v>
      </c>
      <c r="D125" s="28" t="s">
        <v>76</v>
      </c>
      <c r="E125" s="72"/>
      <c r="F125" s="72"/>
      <c r="G125" s="72"/>
      <c r="H125" s="29" t="s">
        <v>206</v>
      </c>
      <c r="I125" s="71"/>
      <c r="J125" s="114"/>
      <c r="K125" s="114"/>
      <c r="L125" s="114"/>
      <c r="M125" s="47"/>
      <c r="N125" s="47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7"/>
      <c r="AZ125" s="7"/>
      <c r="BA125" s="7"/>
      <c r="BB125" s="116"/>
      <c r="BC125" s="116"/>
      <c r="BD125" s="86" t="str">
        <f t="shared" si="27"/>
        <v>No</v>
      </c>
      <c r="BE125" s="76" t="str">
        <f t="shared" si="26"/>
        <v>MDMC: Sheckel - 2024</v>
      </c>
      <c r="BF125" s="87" t="str">
        <f t="shared" si="28"/>
        <v>Mark Roan/Natali Brennan</v>
      </c>
      <c r="BG125" s="87" t="str">
        <f>IF(AZ125&gt;65%,"No need to contact","need to contact")</f>
        <v>need to contact</v>
      </c>
    </row>
    <row r="126" spans="1:59" ht="15.6" x14ac:dyDescent="0.6">
      <c r="A126" s="84"/>
      <c r="B126" s="84">
        <v>147828</v>
      </c>
      <c r="C126" s="84" t="s">
        <v>262</v>
      </c>
      <c r="D126" s="28" t="s">
        <v>76</v>
      </c>
      <c r="E126" s="72"/>
      <c r="F126" s="86" t="s">
        <v>263</v>
      </c>
      <c r="G126" s="72"/>
      <c r="H126" s="29" t="s">
        <v>203</v>
      </c>
      <c r="I126" s="71"/>
      <c r="J126" s="114"/>
      <c r="K126" s="114"/>
      <c r="L126" s="114"/>
      <c r="M126" s="47"/>
      <c r="N126" s="47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7"/>
      <c r="AZ126" s="7"/>
      <c r="BA126" s="7"/>
      <c r="BB126" s="116"/>
      <c r="BC126" s="116"/>
      <c r="BD126" s="86" t="str">
        <f t="shared" si="27"/>
        <v>No</v>
      </c>
      <c r="BE126" s="76" t="str">
        <f t="shared" si="26"/>
        <v>THR: Rockwall MP 2.0</v>
      </c>
      <c r="BF126" s="87" t="str">
        <f t="shared" si="28"/>
        <v>Mark Roan</v>
      </c>
      <c r="BG126" s="87" t="str">
        <f t="shared" ref="BG126:BG130" si="29">IF(AZ126&gt;65%,"No need to contact","need to contact")</f>
        <v>need to contact</v>
      </c>
    </row>
    <row r="127" spans="1:59" ht="15.6" x14ac:dyDescent="0.6">
      <c r="A127" s="84"/>
      <c r="B127" s="84">
        <v>147829</v>
      </c>
      <c r="C127" s="84" t="s">
        <v>264</v>
      </c>
      <c r="D127" s="28" t="s">
        <v>76</v>
      </c>
      <c r="E127" s="72"/>
      <c r="F127" s="86" t="s">
        <v>263</v>
      </c>
      <c r="G127" s="72"/>
      <c r="H127" s="29" t="s">
        <v>203</v>
      </c>
      <c r="I127" s="71"/>
      <c r="J127" s="114"/>
      <c r="K127" s="114"/>
      <c r="L127" s="114"/>
      <c r="M127" s="47"/>
      <c r="N127" s="47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7"/>
      <c r="AZ127" s="7"/>
      <c r="BA127" s="7"/>
      <c r="BB127" s="116"/>
      <c r="BC127" s="116"/>
      <c r="BD127" s="86" t="str">
        <f t="shared" si="27"/>
        <v>No</v>
      </c>
      <c r="BE127" s="76" t="str">
        <f t="shared" si="26"/>
        <v>Confidential Site Analysis</v>
      </c>
      <c r="BF127" s="87" t="str">
        <f t="shared" si="28"/>
        <v>Mark Roan</v>
      </c>
      <c r="BG127" s="87" t="str">
        <f t="shared" si="29"/>
        <v>need to contact</v>
      </c>
    </row>
    <row r="128" spans="1:59" ht="15.6" x14ac:dyDescent="0.6">
      <c r="A128" s="84"/>
      <c r="B128" s="84">
        <v>147831</v>
      </c>
      <c r="C128" s="84" t="s">
        <v>265</v>
      </c>
      <c r="D128" s="28" t="s">
        <v>76</v>
      </c>
      <c r="E128" s="72"/>
      <c r="F128" s="86"/>
      <c r="G128" s="72"/>
      <c r="H128" s="29" t="s">
        <v>266</v>
      </c>
      <c r="I128" s="71"/>
      <c r="J128" s="114"/>
      <c r="K128" s="114"/>
      <c r="L128" s="114"/>
      <c r="M128" s="47"/>
      <c r="N128" s="47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7"/>
      <c r="AZ128" s="7"/>
      <c r="BA128" s="7"/>
      <c r="BB128" s="116"/>
      <c r="BC128" s="116"/>
      <c r="BD128" s="86" t="str">
        <f t="shared" si="27"/>
        <v>No</v>
      </c>
      <c r="BE128" s="76" t="str">
        <f t="shared" si="26"/>
        <v>THR Rockwall: MRI Equipment Replacement</v>
      </c>
      <c r="BF128" s="87" t="str">
        <f t="shared" si="28"/>
        <v>Natali Brennan</v>
      </c>
      <c r="BG128" s="87" t="str">
        <f t="shared" si="29"/>
        <v>need to contact</v>
      </c>
    </row>
    <row r="129" spans="1:59" ht="15.6" x14ac:dyDescent="0.6">
      <c r="A129" s="84"/>
      <c r="B129" s="84">
        <v>147842</v>
      </c>
      <c r="C129" s="84" t="s">
        <v>267</v>
      </c>
      <c r="D129" s="28" t="s">
        <v>76</v>
      </c>
      <c r="E129" s="72"/>
      <c r="F129" s="86" t="s">
        <v>263</v>
      </c>
      <c r="G129" s="72"/>
      <c r="H129" s="29" t="s">
        <v>203</v>
      </c>
      <c r="I129" s="71"/>
      <c r="J129" s="114"/>
      <c r="K129" s="114"/>
      <c r="L129" s="114"/>
      <c r="M129" s="47"/>
      <c r="N129" s="47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7"/>
      <c r="AZ129" s="7"/>
      <c r="BA129" s="7"/>
      <c r="BB129" s="116"/>
      <c r="BC129" s="116"/>
      <c r="BD129" s="86" t="str">
        <f t="shared" si="27"/>
        <v>No</v>
      </c>
      <c r="BE129" s="76" t="str">
        <f t="shared" si="26"/>
        <v>BSW Lake Pointe: Master Plan</v>
      </c>
      <c r="BF129" s="87" t="str">
        <f t="shared" si="28"/>
        <v>Mark Roan</v>
      </c>
      <c r="BG129" s="87" t="str">
        <f t="shared" si="29"/>
        <v>need to contact</v>
      </c>
    </row>
    <row r="130" spans="1:59" ht="15.6" x14ac:dyDescent="0.6">
      <c r="A130" s="84"/>
      <c r="B130" s="84">
        <v>147845</v>
      </c>
      <c r="C130" s="84" t="s">
        <v>268</v>
      </c>
      <c r="D130" s="28" t="s">
        <v>76</v>
      </c>
      <c r="E130" s="72"/>
      <c r="F130" s="86"/>
      <c r="G130" s="72"/>
      <c r="H130" s="29" t="s">
        <v>203</v>
      </c>
      <c r="I130" s="71"/>
      <c r="J130" s="114"/>
      <c r="K130" s="114"/>
      <c r="L130" s="114"/>
      <c r="M130" s="47"/>
      <c r="N130" s="47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7"/>
      <c r="AZ130" s="7"/>
      <c r="BA130" s="7"/>
      <c r="BB130" s="116"/>
      <c r="BC130" s="116"/>
      <c r="BD130" s="86" t="str">
        <f t="shared" si="27"/>
        <v>No</v>
      </c>
      <c r="BE130" s="76" t="str">
        <f t="shared" si="26"/>
        <v>MRC Equip Rep</v>
      </c>
      <c r="BF130" s="87" t="str">
        <f t="shared" si="28"/>
        <v>Mark Roan</v>
      </c>
      <c r="BG130" s="87" t="str">
        <f t="shared" si="29"/>
        <v>need to contact</v>
      </c>
    </row>
    <row r="131" spans="1:59" ht="15.6" x14ac:dyDescent="0.6">
      <c r="A131" s="84"/>
      <c r="B131" s="84">
        <v>147381.00200000001</v>
      </c>
      <c r="C131" s="84" t="s">
        <v>269</v>
      </c>
      <c r="D131" s="71"/>
      <c r="E131" s="72" t="s">
        <v>245</v>
      </c>
      <c r="F131" s="72"/>
      <c r="G131" s="72"/>
      <c r="H131" s="72" t="s">
        <v>245</v>
      </c>
      <c r="I131" s="71"/>
      <c r="J131" s="114"/>
      <c r="K131" s="114"/>
      <c r="L131" s="114"/>
      <c r="M131" s="47"/>
      <c r="N131" s="47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7"/>
      <c r="AZ131" s="7"/>
      <c r="BA131" s="7"/>
      <c r="BB131" s="116"/>
      <c r="BC131" s="116"/>
      <c r="BD131" s="86" t="s">
        <v>113</v>
      </c>
      <c r="BE131" s="76" t="s">
        <v>269</v>
      </c>
      <c r="BF131" s="76" t="s">
        <v>245</v>
      </c>
      <c r="BG131" s="76" t="s">
        <v>199</v>
      </c>
    </row>
    <row r="132" spans="1:59" ht="15.6" x14ac:dyDescent="0.6">
      <c r="A132" s="84"/>
      <c r="B132" s="84">
        <v>147780</v>
      </c>
      <c r="C132" s="84" t="s">
        <v>270</v>
      </c>
      <c r="D132" s="28" t="s">
        <v>76</v>
      </c>
      <c r="E132" s="72" t="s">
        <v>245</v>
      </c>
      <c r="F132" s="72"/>
      <c r="G132" s="72"/>
      <c r="H132" s="72" t="s">
        <v>245</v>
      </c>
      <c r="I132" s="71"/>
      <c r="J132" s="114"/>
      <c r="K132" s="114"/>
      <c r="L132" s="114"/>
      <c r="M132" s="47"/>
      <c r="N132" s="47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7"/>
      <c r="AZ132" s="7"/>
      <c r="BA132" s="7"/>
      <c r="BB132" s="116"/>
      <c r="BC132" s="116"/>
      <c r="BD132" s="86" t="s">
        <v>113</v>
      </c>
      <c r="BE132" s="76" t="s">
        <v>270</v>
      </c>
      <c r="BF132" s="76" t="s">
        <v>245</v>
      </c>
      <c r="BG132" s="76" t="s">
        <v>199</v>
      </c>
    </row>
    <row r="133" spans="1:59" ht="15.6" x14ac:dyDescent="0.6">
      <c r="A133" s="84"/>
      <c r="B133" s="84">
        <v>147780</v>
      </c>
      <c r="C133" s="84" t="s">
        <v>270</v>
      </c>
      <c r="D133" s="28" t="s">
        <v>76</v>
      </c>
      <c r="E133" s="72" t="s">
        <v>245</v>
      </c>
      <c r="F133" s="72"/>
      <c r="G133" s="72"/>
      <c r="H133" s="72" t="s">
        <v>245</v>
      </c>
      <c r="I133" s="71"/>
      <c r="J133" s="114"/>
      <c r="K133" s="114"/>
      <c r="L133" s="114"/>
      <c r="M133" s="47"/>
      <c r="N133" s="47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7"/>
      <c r="AZ133" s="7"/>
      <c r="BA133" s="7"/>
      <c r="BB133" s="116"/>
      <c r="BC133" s="116"/>
      <c r="BD133" s="86" t="str">
        <f>IF(N133&gt;60%,"YES","No")</f>
        <v>No</v>
      </c>
      <c r="BE133" s="76" t="str">
        <f>C133</f>
        <v>MDMC: Heart Center Study</v>
      </c>
      <c r="BF133" s="76" t="str">
        <f>H133</f>
        <v>Roan, Mark</v>
      </c>
      <c r="BG133" s="76" t="str">
        <f>IF(AZ133&gt;65%,"No need to contact","need to contact")</f>
        <v>need to contact</v>
      </c>
    </row>
    <row r="134" spans="1:59" ht="15.6" x14ac:dyDescent="0.6">
      <c r="A134" s="84"/>
      <c r="B134" s="84">
        <v>147809</v>
      </c>
      <c r="C134" s="84" t="s">
        <v>271</v>
      </c>
      <c r="D134" s="28" t="s">
        <v>76</v>
      </c>
      <c r="E134" s="72" t="s">
        <v>245</v>
      </c>
      <c r="F134" s="72"/>
      <c r="G134" s="72"/>
      <c r="H134" s="72" t="s">
        <v>245</v>
      </c>
      <c r="I134" s="71"/>
      <c r="J134" s="114"/>
      <c r="K134" s="114"/>
      <c r="L134" s="114"/>
      <c r="M134" s="47"/>
      <c r="N134" s="47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7"/>
      <c r="AZ134" s="7"/>
      <c r="BA134" s="7"/>
      <c r="BB134" s="116"/>
      <c r="BC134" s="116"/>
      <c r="BD134" s="86" t="str">
        <f>IF(N134&gt;60%,"YES","No")</f>
        <v>No</v>
      </c>
      <c r="BE134" s="76" t="str">
        <f>C134</f>
        <v>MMMC:Fluoro Room 1 Equipment Replacement</v>
      </c>
      <c r="BF134" s="76" t="str">
        <f>H134</f>
        <v>Roan, Mark</v>
      </c>
      <c r="BG134" s="76" t="str">
        <f t="shared" si="12"/>
        <v>need to contact</v>
      </c>
    </row>
    <row r="135" spans="1:59" ht="15.6" x14ac:dyDescent="0.6">
      <c r="A135" s="84"/>
      <c r="B135" s="84">
        <v>147828</v>
      </c>
      <c r="C135" s="84" t="s">
        <v>262</v>
      </c>
      <c r="D135" s="71"/>
      <c r="E135" s="72" t="s">
        <v>245</v>
      </c>
      <c r="F135" s="72"/>
      <c r="G135" s="72"/>
      <c r="H135" s="72" t="s">
        <v>245</v>
      </c>
      <c r="I135" s="71"/>
      <c r="J135" s="114"/>
      <c r="K135" s="114"/>
      <c r="L135" s="114"/>
      <c r="M135" s="47"/>
      <c r="N135" s="47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7"/>
      <c r="AZ135" s="7"/>
      <c r="BA135" s="7"/>
      <c r="BB135" s="116"/>
      <c r="BC135" s="116"/>
      <c r="BD135" s="86" t="str">
        <f>IF(N135&gt;60%,"YES","No")</f>
        <v>No</v>
      </c>
      <c r="BE135" s="76" t="str">
        <f>C135</f>
        <v>THR: Rockwall MP 2.0</v>
      </c>
      <c r="BF135" s="87" t="str">
        <f>H135</f>
        <v>Roan, Mark</v>
      </c>
      <c r="BG135" s="87" t="str">
        <f t="shared" ref="BG135:BG136" si="30">IF(AZ135&gt;65%,"No need to contact","need to contact")</f>
        <v>need to contact</v>
      </c>
    </row>
    <row r="136" spans="1:59" ht="15.6" x14ac:dyDescent="0.6">
      <c r="A136" s="84"/>
      <c r="B136" s="84">
        <v>147829</v>
      </c>
      <c r="C136" s="84" t="s">
        <v>272</v>
      </c>
      <c r="D136" s="28" t="s">
        <v>76</v>
      </c>
      <c r="E136" s="72" t="s">
        <v>245</v>
      </c>
      <c r="F136" s="72"/>
      <c r="G136" s="72"/>
      <c r="H136" s="72" t="s">
        <v>245</v>
      </c>
      <c r="I136" s="71"/>
      <c r="J136" s="114"/>
      <c r="K136" s="114"/>
      <c r="L136" s="114"/>
      <c r="M136" s="47"/>
      <c r="N136" s="47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7"/>
      <c r="AZ136" s="7"/>
      <c r="BA136" s="7"/>
      <c r="BB136" s="116"/>
      <c r="BC136" s="116"/>
      <c r="BD136" s="86" t="str">
        <f>IF(N136&gt;60%,"YES","No")</f>
        <v>No</v>
      </c>
      <c r="BE136" s="76" t="str">
        <f>C136</f>
        <v>Confidential Hospital Site Analysis</v>
      </c>
      <c r="BF136" s="87" t="str">
        <f>H136</f>
        <v>Roan, Mark</v>
      </c>
      <c r="BG136" s="87" t="str">
        <f t="shared" si="30"/>
        <v>need to contact</v>
      </c>
    </row>
    <row r="137" spans="1:59" ht="15" customHeight="1" x14ac:dyDescent="0.6">
      <c r="B137" s="84">
        <v>147854</v>
      </c>
      <c r="C137" s="76" t="s">
        <v>273</v>
      </c>
      <c r="D137" s="28" t="s">
        <v>76</v>
      </c>
      <c r="H137" s="29" t="s">
        <v>203</v>
      </c>
      <c r="N137" s="47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BD137" s="86" t="s">
        <v>113</v>
      </c>
      <c r="BF137" s="87"/>
    </row>
    <row r="138" spans="1:59" ht="15" customHeight="1" x14ac:dyDescent="0.6">
      <c r="B138" s="60">
        <v>147825</v>
      </c>
      <c r="C138" s="76" t="s">
        <v>274</v>
      </c>
      <c r="D138" s="28" t="s">
        <v>76</v>
      </c>
      <c r="F138" s="7"/>
      <c r="H138" s="29" t="s">
        <v>203</v>
      </c>
      <c r="N138" s="47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BD138" s="86" t="s">
        <v>113</v>
      </c>
    </row>
    <row r="139" spans="1:59" ht="15" customHeight="1" x14ac:dyDescent="0.6">
      <c r="B139" s="60">
        <v>147857</v>
      </c>
      <c r="C139" s="76" t="s">
        <v>275</v>
      </c>
      <c r="D139" s="28" t="s">
        <v>76</v>
      </c>
      <c r="F139" s="7"/>
      <c r="H139" s="29" t="s">
        <v>203</v>
      </c>
      <c r="N139" s="47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BD139" s="86" t="str">
        <f>IF(N139&gt;60%,"YES","No")</f>
        <v>No</v>
      </c>
    </row>
    <row r="140" spans="1:59" ht="15" customHeight="1" x14ac:dyDescent="0.6">
      <c r="B140" s="60">
        <v>147872</v>
      </c>
      <c r="C140" s="76" t="s">
        <v>276</v>
      </c>
      <c r="D140" s="28" t="s">
        <v>76</v>
      </c>
      <c r="F140" s="7"/>
      <c r="H140" s="29" t="s">
        <v>203</v>
      </c>
      <c r="N140" s="47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BD140" s="86"/>
    </row>
    <row r="141" spans="1:59" ht="15" customHeight="1" x14ac:dyDescent="0.6">
      <c r="B141" s="60">
        <v>147735</v>
      </c>
      <c r="C141" s="76" t="s">
        <v>277</v>
      </c>
      <c r="D141" s="28" t="s">
        <v>76</v>
      </c>
      <c r="F141" s="7"/>
      <c r="H141" s="29" t="s">
        <v>203</v>
      </c>
      <c r="N141" s="47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BD141" s="86"/>
    </row>
    <row r="142" spans="1:59" ht="15.6" x14ac:dyDescent="0.6">
      <c r="A142" s="84"/>
      <c r="B142" s="84">
        <v>147812</v>
      </c>
      <c r="C142" s="84" t="s">
        <v>278</v>
      </c>
      <c r="D142" s="71"/>
      <c r="E142" s="72" t="s">
        <v>186</v>
      </c>
      <c r="F142" s="72"/>
      <c r="G142" s="72"/>
      <c r="H142" s="72" t="s">
        <v>243</v>
      </c>
      <c r="I142" s="71"/>
      <c r="J142" s="114"/>
      <c r="K142" s="114"/>
      <c r="L142" s="114"/>
      <c r="M142" s="47"/>
      <c r="N142" s="47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7"/>
      <c r="AZ142" s="7"/>
      <c r="BA142" s="7"/>
      <c r="BB142" s="116"/>
      <c r="BC142" s="116"/>
      <c r="BD142" s="86" t="str">
        <f t="shared" ref="BD142:BD161" si="31">IF(N142&gt;60%,"YES","No")</f>
        <v>No</v>
      </c>
      <c r="BE142" s="76" t="str">
        <f t="shared" ref="BE142:BE155" si="32">C142</f>
        <v>THA R&amp;F Renovation</v>
      </c>
      <c r="BF142" s="76" t="str">
        <f t="shared" ref="BF142:BF155" si="33">H142</f>
        <v>Collins, David</v>
      </c>
      <c r="BG142" s="76" t="str">
        <f t="shared" si="12"/>
        <v>need to contact</v>
      </c>
    </row>
    <row r="143" spans="1:59" ht="15.6" x14ac:dyDescent="0.6">
      <c r="A143" s="84"/>
      <c r="B143" s="84">
        <v>147813</v>
      </c>
      <c r="C143" s="84" t="s">
        <v>279</v>
      </c>
      <c r="D143" s="71"/>
      <c r="E143" s="72" t="s">
        <v>186</v>
      </c>
      <c r="F143" s="72"/>
      <c r="G143" s="72"/>
      <c r="H143" s="72" t="s">
        <v>243</v>
      </c>
      <c r="I143" s="71"/>
      <c r="J143" s="114"/>
      <c r="K143" s="114"/>
      <c r="L143" s="114"/>
      <c r="M143" s="47"/>
      <c r="N143" s="47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7"/>
      <c r="AZ143" s="7"/>
      <c r="BA143" s="7"/>
      <c r="BB143" s="116"/>
      <c r="BC143" s="116"/>
      <c r="BD143" s="86" t="str">
        <f t="shared" si="31"/>
        <v>No</v>
      </c>
      <c r="BE143" s="76" t="str">
        <f t="shared" si="32"/>
        <v>THP OR Integration</v>
      </c>
      <c r="BF143" s="76" t="str">
        <f t="shared" si="33"/>
        <v>Collins, David</v>
      </c>
      <c r="BG143" s="76" t="str">
        <f t="shared" si="12"/>
        <v>need to contact</v>
      </c>
    </row>
    <row r="144" spans="1:59" ht="15.6" x14ac:dyDescent="0.6">
      <c r="A144" s="84"/>
      <c r="B144" s="84">
        <v>147816</v>
      </c>
      <c r="C144" s="84" t="s">
        <v>280</v>
      </c>
      <c r="D144" s="71" t="s">
        <v>516</v>
      </c>
      <c r="E144" s="72" t="s">
        <v>186</v>
      </c>
      <c r="F144" s="72"/>
      <c r="G144" s="72"/>
      <c r="H144" s="72" t="s">
        <v>236</v>
      </c>
      <c r="I144" s="71"/>
      <c r="J144" s="114"/>
      <c r="K144" s="114"/>
      <c r="L144" s="114"/>
      <c r="M144" s="47"/>
      <c r="N144" s="47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7"/>
      <c r="AZ144" s="7"/>
      <c r="BA144" s="7"/>
      <c r="BB144" s="116"/>
      <c r="BC144" s="116"/>
      <c r="BD144" s="86" t="str">
        <f t="shared" si="31"/>
        <v>No</v>
      </c>
      <c r="BE144" s="76" t="str">
        <f t="shared" si="32"/>
        <v>BUMC Retail Pharmacy Remodel</v>
      </c>
      <c r="BF144" s="76" t="str">
        <f t="shared" si="33"/>
        <v>Sinnett, Ian</v>
      </c>
      <c r="BG144" s="76" t="str">
        <f t="shared" si="12"/>
        <v>need to contact</v>
      </c>
    </row>
    <row r="145" spans="1:59" ht="15.6" x14ac:dyDescent="0.6">
      <c r="A145" s="84"/>
      <c r="B145" s="84">
        <v>147826</v>
      </c>
      <c r="C145" s="84" t="s">
        <v>205</v>
      </c>
      <c r="D145" s="71"/>
      <c r="E145" s="72" t="s">
        <v>245</v>
      </c>
      <c r="F145" s="72"/>
      <c r="G145" s="72"/>
      <c r="H145" s="72" t="s">
        <v>243</v>
      </c>
      <c r="I145" s="71"/>
      <c r="J145" s="114"/>
      <c r="K145" s="114"/>
      <c r="L145" s="114"/>
      <c r="M145" s="47"/>
      <c r="N145" s="47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7"/>
      <c r="AZ145" s="7"/>
      <c r="BA145" s="7"/>
      <c r="BB145" s="116"/>
      <c r="BC145" s="116"/>
      <c r="BD145" s="86" t="str">
        <f t="shared" si="31"/>
        <v>No</v>
      </c>
      <c r="BE145" s="76" t="str">
        <f t="shared" si="32"/>
        <v>MDMC: NICU Renovation</v>
      </c>
      <c r="BF145" s="87" t="str">
        <f t="shared" si="33"/>
        <v>Collins, David</v>
      </c>
      <c r="BG145" s="87" t="str">
        <f t="shared" si="12"/>
        <v>need to contact</v>
      </c>
    </row>
    <row r="146" spans="1:59" ht="15.6" x14ac:dyDescent="0.6">
      <c r="A146" s="84"/>
      <c r="B146" s="84">
        <v>147827</v>
      </c>
      <c r="C146" s="84" t="s">
        <v>499</v>
      </c>
      <c r="D146" s="71"/>
      <c r="E146" s="72" t="s">
        <v>186</v>
      </c>
      <c r="F146" s="72"/>
      <c r="G146" s="72"/>
      <c r="H146" s="72" t="s">
        <v>243</v>
      </c>
      <c r="I146" s="71"/>
      <c r="J146" s="114"/>
      <c r="K146" s="114"/>
      <c r="L146" s="114"/>
      <c r="M146" s="47"/>
      <c r="N146" s="47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7"/>
      <c r="AZ146" s="7"/>
      <c r="BA146" s="7"/>
      <c r="BB146" s="116"/>
      <c r="BC146" s="116"/>
      <c r="BD146" s="86" t="str">
        <f t="shared" si="31"/>
        <v>No</v>
      </c>
      <c r="BE146" s="76" t="str">
        <f t="shared" si="32"/>
        <v>THCDS Plano - AHU Replacement - 500 sf</v>
      </c>
      <c r="BF146" s="87" t="str">
        <f t="shared" si="33"/>
        <v>Collins, David</v>
      </c>
      <c r="BG146" s="87" t="str">
        <f t="shared" si="12"/>
        <v>need to contact</v>
      </c>
    </row>
    <row r="147" spans="1:59" ht="15.6" x14ac:dyDescent="0.6">
      <c r="A147" s="84"/>
      <c r="B147" s="84">
        <v>148102.005</v>
      </c>
      <c r="C147" s="84" t="s">
        <v>281</v>
      </c>
      <c r="D147" s="71"/>
      <c r="E147" s="72" t="s">
        <v>282</v>
      </c>
      <c r="F147" s="72"/>
      <c r="G147" s="72"/>
      <c r="H147" s="72" t="s">
        <v>283</v>
      </c>
      <c r="I147" s="71"/>
      <c r="J147" s="114"/>
      <c r="K147" s="114"/>
      <c r="L147" s="114"/>
      <c r="M147" s="47"/>
      <c r="N147" s="47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7"/>
      <c r="AZ147" s="7"/>
      <c r="BA147" s="7"/>
      <c r="BB147" s="116"/>
      <c r="BC147" s="116"/>
      <c r="BD147" s="86" t="str">
        <f t="shared" si="31"/>
        <v>No</v>
      </c>
      <c r="BE147" s="76" t="str">
        <f t="shared" si="32"/>
        <v>Henry Co. Proprietary Specifications</v>
      </c>
      <c r="BF147" s="87" t="str">
        <f t="shared" si="33"/>
        <v>Jordan, Holly</v>
      </c>
      <c r="BG147" s="87" t="str">
        <f t="shared" si="12"/>
        <v>need to contact</v>
      </c>
    </row>
    <row r="148" spans="1:59" ht="15.6" x14ac:dyDescent="0.6">
      <c r="A148" s="84"/>
      <c r="B148" s="84">
        <v>148107</v>
      </c>
      <c r="C148" s="84" t="s">
        <v>284</v>
      </c>
      <c r="D148" s="71"/>
      <c r="E148" s="72" t="s">
        <v>282</v>
      </c>
      <c r="F148" s="72"/>
      <c r="G148" s="72"/>
      <c r="H148" s="72" t="s">
        <v>283</v>
      </c>
      <c r="I148" s="71"/>
      <c r="J148" s="114"/>
      <c r="K148" s="114"/>
      <c r="L148" s="114"/>
      <c r="M148" s="47"/>
      <c r="N148" s="47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7"/>
      <c r="AZ148" s="7"/>
      <c r="BA148" s="7"/>
      <c r="BB148" s="116"/>
      <c r="BC148" s="116"/>
      <c r="BD148" s="86" t="str">
        <f t="shared" si="31"/>
        <v>No</v>
      </c>
      <c r="BE148" s="76" t="str">
        <f t="shared" si="32"/>
        <v>Amanvari Master Specifications</v>
      </c>
      <c r="BF148" s="87" t="str">
        <f t="shared" si="33"/>
        <v>Jordan, Holly</v>
      </c>
      <c r="BG148" s="87" t="str">
        <f t="shared" si="12"/>
        <v>need to contact</v>
      </c>
    </row>
    <row r="149" spans="1:59" ht="15.6" x14ac:dyDescent="0.6">
      <c r="A149" s="84"/>
      <c r="B149" s="84">
        <v>148108</v>
      </c>
      <c r="C149" s="84" t="s">
        <v>285</v>
      </c>
      <c r="D149" s="71"/>
      <c r="E149" s="72" t="s">
        <v>286</v>
      </c>
      <c r="F149" s="72"/>
      <c r="G149" s="72"/>
      <c r="H149" s="72" t="s">
        <v>286</v>
      </c>
      <c r="I149" s="71"/>
      <c r="J149" s="114"/>
      <c r="K149" s="114"/>
      <c r="L149" s="114"/>
      <c r="M149" s="47"/>
      <c r="N149" s="47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7"/>
      <c r="AZ149" s="7"/>
      <c r="BA149" s="7"/>
      <c r="BB149" s="116"/>
      <c r="BC149" s="116"/>
      <c r="BD149" s="86" t="str">
        <f t="shared" si="31"/>
        <v>No</v>
      </c>
      <c r="BE149" s="76" t="str">
        <f t="shared" si="32"/>
        <v>ALEXANDRIA NY- ASCENT LABS &amp; ARE OFFICE</v>
      </c>
      <c r="BF149" s="87" t="str">
        <f t="shared" si="33"/>
        <v>Wicker, Sarah</v>
      </c>
      <c r="BG149" s="87" t="str">
        <f t="shared" si="12"/>
        <v>need to contact</v>
      </c>
    </row>
    <row r="150" spans="1:59" ht="15.6" x14ac:dyDescent="0.6">
      <c r="A150" s="84"/>
      <c r="B150" s="84" t="s">
        <v>287</v>
      </c>
      <c r="C150" s="84" t="s">
        <v>288</v>
      </c>
      <c r="D150" s="71"/>
      <c r="E150" s="72" t="s">
        <v>289</v>
      </c>
      <c r="F150" s="72"/>
      <c r="G150" s="72"/>
      <c r="H150" s="72" t="s">
        <v>289</v>
      </c>
      <c r="I150" s="71"/>
      <c r="J150" s="114"/>
      <c r="K150" s="114"/>
      <c r="L150" s="114"/>
      <c r="M150" s="47"/>
      <c r="N150" s="47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7"/>
      <c r="AZ150" s="7"/>
      <c r="BA150" s="7"/>
      <c r="BB150" s="116"/>
      <c r="BC150" s="116"/>
      <c r="BD150" s="86" t="str">
        <f t="shared" si="31"/>
        <v>No</v>
      </c>
      <c r="BE150" s="76" t="str">
        <f t="shared" si="32"/>
        <v>Methodist Hospital S&amp;T Renovation</v>
      </c>
      <c r="BF150" s="87" t="str">
        <f t="shared" si="33"/>
        <v>Cantu, Omar</v>
      </c>
      <c r="BG150" s="87" t="str">
        <f t="shared" si="12"/>
        <v>need to contact</v>
      </c>
    </row>
    <row r="151" spans="1:59" ht="15.6" x14ac:dyDescent="0.6">
      <c r="A151" s="84"/>
      <c r="B151" s="84" t="s">
        <v>290</v>
      </c>
      <c r="C151" s="84" t="s">
        <v>291</v>
      </c>
      <c r="D151" s="71"/>
      <c r="E151" s="72" t="s">
        <v>231</v>
      </c>
      <c r="F151" s="72"/>
      <c r="G151" s="72"/>
      <c r="H151" s="72" t="s">
        <v>289</v>
      </c>
      <c r="I151" s="71"/>
      <c r="J151" s="114"/>
      <c r="K151" s="114"/>
      <c r="L151" s="114"/>
      <c r="M151" s="47"/>
      <c r="N151" s="47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7"/>
      <c r="AZ151" s="7"/>
      <c r="BA151" s="7"/>
      <c r="BB151" s="116"/>
      <c r="BC151" s="116"/>
      <c r="BD151" s="86" t="str">
        <f t="shared" si="31"/>
        <v>No</v>
      </c>
      <c r="BE151" s="76" t="str">
        <f t="shared" si="32"/>
        <v>Methodist Hospital S&amp;T Reno CA Hourly</v>
      </c>
      <c r="BF151" s="87" t="str">
        <f t="shared" si="33"/>
        <v>Cantu, Omar</v>
      </c>
      <c r="BG151" s="87" t="str">
        <f t="shared" si="12"/>
        <v>need to contact</v>
      </c>
    </row>
    <row r="152" spans="1:59" ht="15.6" x14ac:dyDescent="0.6">
      <c r="A152" s="84"/>
      <c r="B152" s="84">
        <v>182181.00899999999</v>
      </c>
      <c r="C152" s="84" t="s">
        <v>292</v>
      </c>
      <c r="D152" s="71"/>
      <c r="E152" s="72" t="s">
        <v>188</v>
      </c>
      <c r="F152" s="72"/>
      <c r="G152" s="72"/>
      <c r="H152" s="72" t="s">
        <v>293</v>
      </c>
      <c r="I152" s="71"/>
      <c r="J152" s="114"/>
      <c r="K152" s="114"/>
      <c r="L152" s="114"/>
      <c r="M152" s="47"/>
      <c r="N152" s="47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7"/>
      <c r="AZ152" s="7"/>
      <c r="BA152" s="7"/>
      <c r="BB152" s="116"/>
      <c r="BC152" s="116"/>
      <c r="BD152" s="86" t="str">
        <f t="shared" si="31"/>
        <v>No</v>
      </c>
      <c r="BE152" s="76" t="str">
        <f t="shared" si="32"/>
        <v>Renown South Meadows-Contract Extension</v>
      </c>
      <c r="BF152" s="87" t="str">
        <f t="shared" si="33"/>
        <v>Reisenbichler, Thomas</v>
      </c>
      <c r="BG152" s="87" t="str">
        <f t="shared" si="12"/>
        <v>need to contact</v>
      </c>
    </row>
    <row r="153" spans="1:59" ht="15.6" x14ac:dyDescent="0.6">
      <c r="A153" s="84"/>
      <c r="B153" s="84">
        <v>147839</v>
      </c>
      <c r="C153" s="84" t="s">
        <v>498</v>
      </c>
      <c r="D153" s="71"/>
      <c r="E153" s="72"/>
      <c r="F153" s="72"/>
      <c r="G153" s="72"/>
      <c r="H153" s="72" t="s">
        <v>182</v>
      </c>
      <c r="I153" s="71"/>
      <c r="J153" s="114"/>
      <c r="K153" s="114"/>
      <c r="L153" s="114"/>
      <c r="M153" s="47"/>
      <c r="N153" s="47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7"/>
      <c r="AZ153" s="7"/>
      <c r="BA153" s="7"/>
      <c r="BB153" s="116"/>
      <c r="BC153" s="116"/>
      <c r="BD153" s="86" t="str">
        <f t="shared" si="31"/>
        <v>No</v>
      </c>
      <c r="BE153" s="76" t="str">
        <f t="shared" si="32"/>
        <v>BSWH Plano MP Updates - Master Plan</v>
      </c>
      <c r="BF153" s="87" t="str">
        <f t="shared" si="33"/>
        <v>Wes Bowen</v>
      </c>
      <c r="BG153" s="87" t="str">
        <f t="shared" si="12"/>
        <v>need to contact</v>
      </c>
    </row>
    <row r="154" spans="1:59" ht="15.6" x14ac:dyDescent="0.6">
      <c r="A154" s="84"/>
      <c r="B154" s="84">
        <v>147850</v>
      </c>
      <c r="C154" s="84" t="s">
        <v>294</v>
      </c>
      <c r="D154" s="71"/>
      <c r="E154" s="72"/>
      <c r="F154" s="72"/>
      <c r="G154" s="72"/>
      <c r="H154" s="29" t="s">
        <v>222</v>
      </c>
      <c r="I154" s="71"/>
      <c r="J154" s="114"/>
      <c r="K154" s="114"/>
      <c r="L154" s="114"/>
      <c r="M154" s="47"/>
      <c r="N154" s="47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7"/>
      <c r="AZ154" s="7"/>
      <c r="BA154" s="7"/>
      <c r="BB154" s="116"/>
      <c r="BC154" s="116"/>
      <c r="BD154" s="86" t="str">
        <f t="shared" si="31"/>
        <v>No</v>
      </c>
      <c r="BE154" s="76" t="str">
        <f t="shared" si="32"/>
        <v>Wildwood FEMC</v>
      </c>
      <c r="BF154" s="87" t="str">
        <f t="shared" si="33"/>
        <v>Cory Griffin</v>
      </c>
      <c r="BG154" s="87" t="str">
        <f t="shared" si="12"/>
        <v>need to contact</v>
      </c>
    </row>
    <row r="155" spans="1:59" ht="15.6" x14ac:dyDescent="0.6">
      <c r="A155" s="84"/>
      <c r="B155" s="84">
        <v>147805</v>
      </c>
      <c r="C155" s="84" t="s">
        <v>295</v>
      </c>
      <c r="D155" s="28" t="s">
        <v>76</v>
      </c>
      <c r="E155" s="72" t="s">
        <v>293</v>
      </c>
      <c r="F155" s="72"/>
      <c r="G155" s="72"/>
      <c r="H155" s="72" t="s">
        <v>296</v>
      </c>
      <c r="I155" s="71"/>
      <c r="J155" s="114"/>
      <c r="K155" s="114"/>
      <c r="L155" s="114"/>
      <c r="M155" s="47"/>
      <c r="N155" s="47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7"/>
      <c r="AZ155" s="7"/>
      <c r="BA155" s="7"/>
      <c r="BB155" s="116"/>
      <c r="BC155" s="116"/>
      <c r="BD155" s="86" t="str">
        <f t="shared" si="31"/>
        <v>No</v>
      </c>
      <c r="BE155" s="76" t="str">
        <f t="shared" si="32"/>
        <v>Argyle Site Planning Study</v>
      </c>
      <c r="BF155" s="76" t="str">
        <f t="shared" si="33"/>
        <v>Reisenbichler, Thomas/ Kenneth?</v>
      </c>
      <c r="BG155" s="76" t="str">
        <f>IF(AZ155&gt;65%,"No need to contact","need to contact")</f>
        <v>need to contact</v>
      </c>
    </row>
    <row r="156" spans="1:59" ht="15" customHeight="1" x14ac:dyDescent="0.6">
      <c r="B156" s="84">
        <v>147546.00099999999</v>
      </c>
      <c r="C156" s="76" t="s">
        <v>297</v>
      </c>
      <c r="D156" s="28" t="s">
        <v>76</v>
      </c>
      <c r="F156" s="7" t="s">
        <v>208</v>
      </c>
      <c r="H156" s="29" t="s">
        <v>298</v>
      </c>
      <c r="N156" s="47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BD156" s="86" t="str">
        <f t="shared" si="31"/>
        <v>No</v>
      </c>
      <c r="BF156" s="87"/>
    </row>
    <row r="157" spans="1:59" ht="15" customHeight="1" x14ac:dyDescent="0.6">
      <c r="B157" s="60">
        <v>147468</v>
      </c>
      <c r="C157" s="65" t="s">
        <v>299</v>
      </c>
      <c r="D157" s="28" t="s">
        <v>76</v>
      </c>
      <c r="F157" s="7" t="s">
        <v>300</v>
      </c>
      <c r="H157" s="29"/>
      <c r="N157" s="47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BD157" s="86" t="str">
        <f t="shared" si="31"/>
        <v>No</v>
      </c>
    </row>
    <row r="158" spans="1:59" ht="15" customHeight="1" x14ac:dyDescent="0.6">
      <c r="B158" s="60">
        <v>147850</v>
      </c>
      <c r="C158" s="76" t="s">
        <v>301</v>
      </c>
      <c r="D158" s="28" t="s">
        <v>302</v>
      </c>
      <c r="F158" s="7" t="s">
        <v>154</v>
      </c>
      <c r="H158" s="29" t="s">
        <v>222</v>
      </c>
      <c r="N158" s="47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BD158" s="86" t="str">
        <f t="shared" si="31"/>
        <v>No</v>
      </c>
    </row>
    <row r="159" spans="1:59" ht="15" customHeight="1" x14ac:dyDescent="0.6">
      <c r="B159" s="60">
        <v>147855</v>
      </c>
      <c r="C159" s="76" t="s">
        <v>303</v>
      </c>
      <c r="D159" s="28" t="s">
        <v>302</v>
      </c>
      <c r="F159" s="7" t="s">
        <v>154</v>
      </c>
      <c r="H159" s="29" t="s">
        <v>222</v>
      </c>
      <c r="N159" s="47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BD159" s="86" t="str">
        <f t="shared" si="31"/>
        <v>No</v>
      </c>
    </row>
    <row r="160" spans="1:59" ht="15" customHeight="1" x14ac:dyDescent="0.6">
      <c r="B160" s="60">
        <v>147831</v>
      </c>
      <c r="C160" s="76" t="s">
        <v>304</v>
      </c>
      <c r="D160" s="28" t="s">
        <v>302</v>
      </c>
      <c r="F160" s="7"/>
      <c r="H160" s="29"/>
      <c r="N160" s="47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BD160" s="86" t="str">
        <f t="shared" si="31"/>
        <v>No</v>
      </c>
    </row>
    <row r="161" spans="1:59" ht="15" customHeight="1" x14ac:dyDescent="0.6">
      <c r="B161" s="60">
        <v>147829</v>
      </c>
      <c r="C161" s="76" t="s">
        <v>305</v>
      </c>
      <c r="D161" s="28" t="s">
        <v>302</v>
      </c>
      <c r="F161" s="7"/>
      <c r="H161" s="29"/>
      <c r="N161" s="47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BD161" s="86" t="str">
        <f t="shared" si="31"/>
        <v>No</v>
      </c>
    </row>
    <row r="162" spans="1:59" ht="15.6" customHeight="1" x14ac:dyDescent="0.6">
      <c r="A162" s="81"/>
      <c r="B162" s="188" t="s">
        <v>306</v>
      </c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58"/>
    </row>
    <row r="163" spans="1:59" ht="15" customHeight="1" x14ac:dyDescent="0.6">
      <c r="A163" s="84"/>
      <c r="B163" s="84">
        <v>146118</v>
      </c>
      <c r="C163" s="76" t="s">
        <v>307</v>
      </c>
      <c r="D163" s="45"/>
      <c r="E163" s="45"/>
      <c r="F163" s="45"/>
      <c r="G163" s="45"/>
      <c r="H163" s="52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s="45"/>
      <c r="AP163" s="45"/>
      <c r="AQ163" s="45"/>
      <c r="AR163" s="45"/>
      <c r="AS163" s="45"/>
      <c r="AT163" s="45"/>
      <c r="AU163" s="45"/>
      <c r="AV163" s="45"/>
      <c r="AW163" s="45"/>
      <c r="AX163" s="45"/>
      <c r="AY163" s="45" t="s">
        <v>87</v>
      </c>
      <c r="AZ163" s="45"/>
      <c r="BA163" s="45"/>
    </row>
    <row r="164" spans="1:59" ht="15" customHeight="1" x14ac:dyDescent="0.6">
      <c r="A164" s="84"/>
      <c r="B164" s="84">
        <v>146119</v>
      </c>
      <c r="C164" s="76" t="s">
        <v>308</v>
      </c>
      <c r="D164" s="45"/>
      <c r="E164" s="45"/>
      <c r="F164" s="45"/>
      <c r="G164" s="45"/>
      <c r="H164" s="52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  <c r="AM164" s="45"/>
      <c r="AN164" s="45"/>
      <c r="AO164" s="45"/>
      <c r="AP164" s="45"/>
      <c r="AQ164" s="45"/>
      <c r="AR164" s="45"/>
      <c r="AS164" s="45"/>
      <c r="AT164" s="45"/>
      <c r="AU164" s="45"/>
      <c r="AV164" s="45"/>
      <c r="AW164" s="45"/>
      <c r="AX164" s="45"/>
      <c r="AY164" s="45" t="s">
        <v>87</v>
      </c>
      <c r="AZ164" s="45"/>
      <c r="BA164" s="45"/>
    </row>
    <row r="165" spans="1:59" ht="14.5" customHeight="1" x14ac:dyDescent="0.6">
      <c r="A165" s="60">
        <v>1</v>
      </c>
      <c r="B165" s="88">
        <v>147727</v>
      </c>
      <c r="C165" s="108" t="s">
        <v>309</v>
      </c>
      <c r="D165" s="1" t="s">
        <v>549</v>
      </c>
      <c r="E165" s="1" t="s">
        <v>85</v>
      </c>
      <c r="F165" s="7" t="s">
        <v>546</v>
      </c>
      <c r="G165" s="29" t="s">
        <v>310</v>
      </c>
      <c r="H165" s="72" t="s">
        <v>311</v>
      </c>
      <c r="I165" s="16" t="s">
        <v>80</v>
      </c>
      <c r="J165" s="64" t="s">
        <v>176</v>
      </c>
      <c r="K165" s="7" t="s">
        <v>176</v>
      </c>
      <c r="L165" s="1" t="s">
        <v>85</v>
      </c>
      <c r="M165" s="15">
        <v>0.95</v>
      </c>
      <c r="N165" s="47">
        <v>0.88</v>
      </c>
      <c r="O165" s="16">
        <v>4</v>
      </c>
      <c r="P165" s="16">
        <v>4</v>
      </c>
      <c r="Q165" s="16">
        <v>4</v>
      </c>
      <c r="R165" s="16">
        <v>6</v>
      </c>
      <c r="S165" s="16" t="s">
        <v>88</v>
      </c>
      <c r="T165" s="16" t="s">
        <v>88</v>
      </c>
      <c r="U165" s="16" t="s">
        <v>88</v>
      </c>
      <c r="V165" s="16" t="s">
        <v>88</v>
      </c>
      <c r="W165" s="16" t="s">
        <v>88</v>
      </c>
      <c r="X165" s="16" t="s">
        <v>88</v>
      </c>
      <c r="Y165" s="16">
        <v>1.2</v>
      </c>
      <c r="Z165" s="16">
        <v>0.8</v>
      </c>
      <c r="AA165" s="46">
        <f>(Y165-Z165)/Y165</f>
        <v>0.33333333333333326</v>
      </c>
      <c r="AB165" s="16" t="s">
        <v>85</v>
      </c>
      <c r="AC165" s="16">
        <v>11</v>
      </c>
      <c r="AD165" s="16">
        <v>0</v>
      </c>
      <c r="AE165" s="16" t="s">
        <v>540</v>
      </c>
      <c r="AF165" s="16" t="s">
        <v>76</v>
      </c>
      <c r="AG165" s="16" t="s">
        <v>114</v>
      </c>
      <c r="AH165" s="16" t="s">
        <v>114</v>
      </c>
      <c r="AI165" s="16" t="s">
        <v>114</v>
      </c>
      <c r="AJ165" s="16" t="s">
        <v>114</v>
      </c>
      <c r="AK165" s="16">
        <v>1</v>
      </c>
      <c r="AL165" s="16">
        <v>1</v>
      </c>
      <c r="AM165" s="16">
        <v>1</v>
      </c>
      <c r="AN165" s="16">
        <v>1</v>
      </c>
      <c r="AO165" s="16" t="s">
        <v>76</v>
      </c>
      <c r="AP165" s="16">
        <v>2</v>
      </c>
      <c r="AQ165" s="16">
        <v>1</v>
      </c>
      <c r="AR165" s="16">
        <v>1</v>
      </c>
      <c r="AS165" s="16">
        <v>1</v>
      </c>
      <c r="AT165" s="16">
        <v>1</v>
      </c>
      <c r="AU165" s="16">
        <v>1</v>
      </c>
      <c r="AV165" s="16">
        <v>1</v>
      </c>
      <c r="AW165" s="16">
        <v>1</v>
      </c>
      <c r="AX165" s="16">
        <v>1</v>
      </c>
      <c r="AY165" s="85" t="e">
        <f>O165+P165+Q165+R165+AC165+AD165+AF166+AK165+AL165+AM165+AN165+AP165+AR165+AS165+AT165+AU165+AV165+AW165+AX165</f>
        <v>#VALUE!</v>
      </c>
      <c r="AZ165" s="46" t="e">
        <f t="shared" ref="AZ165:AZ184" si="34">AY165/55</f>
        <v>#VALUE!</v>
      </c>
      <c r="BA165" s="85" t="s">
        <v>180</v>
      </c>
      <c r="BB165" s="13" t="s">
        <v>312</v>
      </c>
      <c r="BC165" s="13"/>
      <c r="BD165" s="86" t="str">
        <f>IF(N165&gt;60%,"YES","No")</f>
        <v>YES</v>
      </c>
      <c r="BE165" s="76" t="str">
        <f>C165</f>
        <v>BSWI Surgery Renovation - This is the last report</v>
      </c>
      <c r="BF165" s="87" t="str">
        <f>H165</f>
        <v xml:space="preserve">Wes Bowen / Beth </v>
      </c>
      <c r="BG165" s="87" t="e">
        <f t="shared" ref="BG165:BG184" si="35">IF(AZ165&gt;65%,"No need to contact","need to contact")</f>
        <v>#VALUE!</v>
      </c>
    </row>
    <row r="166" spans="1:59" ht="14.5" customHeight="1" x14ac:dyDescent="0.6">
      <c r="A166" s="60">
        <v>2</v>
      </c>
      <c r="B166" s="88">
        <v>147726</v>
      </c>
      <c r="C166" s="108" t="s">
        <v>313</v>
      </c>
      <c r="D166" s="1" t="s">
        <v>85</v>
      </c>
      <c r="E166" s="1" t="s">
        <v>85</v>
      </c>
      <c r="F166" s="16" t="s">
        <v>518</v>
      </c>
      <c r="G166" s="29" t="s">
        <v>310</v>
      </c>
      <c r="H166" s="72" t="s">
        <v>311</v>
      </c>
      <c r="I166" s="71" t="s">
        <v>314</v>
      </c>
      <c r="J166" s="64" t="s">
        <v>176</v>
      </c>
      <c r="K166" s="7" t="s">
        <v>176</v>
      </c>
      <c r="L166" s="1" t="s">
        <v>85</v>
      </c>
      <c r="M166" s="15">
        <v>0.85</v>
      </c>
      <c r="N166" s="47">
        <v>0.94</v>
      </c>
      <c r="O166" s="16">
        <v>4</v>
      </c>
      <c r="P166" s="16">
        <v>3</v>
      </c>
      <c r="Q166" s="16">
        <v>4</v>
      </c>
      <c r="R166" s="16">
        <v>6</v>
      </c>
      <c r="S166" s="16" t="s">
        <v>88</v>
      </c>
      <c r="T166" s="16" t="s">
        <v>88</v>
      </c>
      <c r="U166" s="16" t="s">
        <v>88</v>
      </c>
      <c r="V166" s="16" t="s">
        <v>88</v>
      </c>
      <c r="W166" s="16" t="s">
        <v>88</v>
      </c>
      <c r="X166" s="16" t="s">
        <v>88</v>
      </c>
      <c r="Y166" s="16" t="s">
        <v>114</v>
      </c>
      <c r="Z166" s="16" t="s">
        <v>114</v>
      </c>
      <c r="AA166" s="16" t="s">
        <v>114</v>
      </c>
      <c r="AB166" s="16" t="s">
        <v>114</v>
      </c>
      <c r="AC166" s="16">
        <v>8</v>
      </c>
      <c r="AD166" s="16">
        <v>0</v>
      </c>
      <c r="AE166" s="16" t="s">
        <v>540</v>
      </c>
      <c r="AF166" s="16" t="s">
        <v>76</v>
      </c>
      <c r="AG166" s="47">
        <v>0.21</v>
      </c>
      <c r="AH166" s="16" t="s">
        <v>76</v>
      </c>
      <c r="AI166" s="16" t="s">
        <v>88</v>
      </c>
      <c r="AJ166" s="16" t="s">
        <v>88</v>
      </c>
      <c r="AK166" s="16">
        <v>5</v>
      </c>
      <c r="AL166" s="16">
        <v>2</v>
      </c>
      <c r="AM166" s="16">
        <v>1</v>
      </c>
      <c r="AN166" s="16">
        <v>1</v>
      </c>
      <c r="AO166" s="16" t="s">
        <v>76</v>
      </c>
      <c r="AP166" s="16">
        <v>0</v>
      </c>
      <c r="AQ166" s="16">
        <v>1</v>
      </c>
      <c r="AR166" s="16">
        <v>1</v>
      </c>
      <c r="AS166" s="16">
        <v>1</v>
      </c>
      <c r="AT166" s="16">
        <v>1</v>
      </c>
      <c r="AU166" s="16">
        <v>1</v>
      </c>
      <c r="AV166" s="16">
        <v>1</v>
      </c>
      <c r="AW166" s="16">
        <v>1</v>
      </c>
      <c r="AX166" s="16">
        <v>1</v>
      </c>
      <c r="AY166" s="85" t="e">
        <f>O166+P166+Q166+R166+AC166+AD166+AF167+AK166+AL166+AM166+AN166+AP166+AR166+AS166+AT166+AU166+AV166+AW166+AX166</f>
        <v>#VALUE!</v>
      </c>
      <c r="AZ166" s="46" t="e">
        <f t="shared" si="34"/>
        <v>#VALUE!</v>
      </c>
      <c r="BA166" s="85" t="s">
        <v>180</v>
      </c>
      <c r="BB166" s="13"/>
      <c r="BC166" s="13"/>
      <c r="BD166" s="86" t="str">
        <f>IF(N166&gt;60%,"YES","No")</f>
        <v>YES</v>
      </c>
      <c r="BE166" s="76" t="str">
        <f>C166</f>
        <v>BSWI ICU Build out  (irving) - This is the last report</v>
      </c>
      <c r="BF166" s="87" t="str">
        <f>H166</f>
        <v xml:space="preserve">Wes Bowen / Beth </v>
      </c>
      <c r="BG166" s="87" t="e">
        <f t="shared" si="35"/>
        <v>#VALUE!</v>
      </c>
    </row>
    <row r="167" spans="1:59" ht="14.1" customHeight="1" x14ac:dyDescent="0.6">
      <c r="A167" s="84">
        <v>3</v>
      </c>
      <c r="B167" s="89">
        <v>147766</v>
      </c>
      <c r="C167" s="90" t="s">
        <v>315</v>
      </c>
      <c r="D167" s="1" t="s">
        <v>316</v>
      </c>
      <c r="E167" s="1"/>
      <c r="F167" s="16" t="s">
        <v>208</v>
      </c>
      <c r="G167" s="113" t="s">
        <v>317</v>
      </c>
      <c r="H167" s="72" t="s">
        <v>318</v>
      </c>
      <c r="I167" s="71" t="s">
        <v>140</v>
      </c>
      <c r="J167" s="114"/>
      <c r="K167" s="114"/>
      <c r="L167" s="114"/>
      <c r="M167" s="44">
        <v>0</v>
      </c>
      <c r="N167" s="47">
        <v>0.93</v>
      </c>
      <c r="O167" s="16">
        <v>4</v>
      </c>
      <c r="P167" s="16">
        <v>4</v>
      </c>
      <c r="Q167" s="16">
        <v>3</v>
      </c>
      <c r="R167" s="16">
        <v>6</v>
      </c>
      <c r="S167" s="16" t="s">
        <v>88</v>
      </c>
      <c r="T167" s="16" t="s">
        <v>88</v>
      </c>
      <c r="U167" s="16" t="s">
        <v>88</v>
      </c>
      <c r="V167" s="16" t="s">
        <v>88</v>
      </c>
      <c r="W167" s="16" t="s">
        <v>88</v>
      </c>
      <c r="X167" s="16" t="s">
        <v>88</v>
      </c>
      <c r="Y167" s="16" t="s">
        <v>88</v>
      </c>
      <c r="Z167" s="16" t="s">
        <v>88</v>
      </c>
      <c r="AA167" s="16" t="s">
        <v>88</v>
      </c>
      <c r="AB167" s="16" t="s">
        <v>88</v>
      </c>
      <c r="AC167" s="16">
        <v>8</v>
      </c>
      <c r="AD167" s="16">
        <v>0</v>
      </c>
      <c r="AE167" s="16" t="s">
        <v>539</v>
      </c>
      <c r="AF167" s="16" t="s">
        <v>76</v>
      </c>
      <c r="AG167" s="47">
        <v>0.21</v>
      </c>
      <c r="AH167" s="16" t="s">
        <v>76</v>
      </c>
      <c r="AI167" s="16" t="s">
        <v>88</v>
      </c>
      <c r="AJ167" s="16" t="s">
        <v>88</v>
      </c>
      <c r="AK167" s="16">
        <v>5</v>
      </c>
      <c r="AL167" s="16">
        <v>0</v>
      </c>
      <c r="AM167" s="16">
        <v>1</v>
      </c>
      <c r="AN167" s="16">
        <v>1</v>
      </c>
      <c r="AO167" s="16" t="s">
        <v>85</v>
      </c>
      <c r="AP167" s="16">
        <v>3</v>
      </c>
      <c r="AQ167" s="16">
        <v>1</v>
      </c>
      <c r="AR167" s="16">
        <v>2</v>
      </c>
      <c r="AS167" s="16">
        <v>1</v>
      </c>
      <c r="AT167" s="16">
        <v>1</v>
      </c>
      <c r="AU167" s="16">
        <v>1</v>
      </c>
      <c r="AV167" s="16">
        <v>1</v>
      </c>
      <c r="AW167" s="16">
        <v>1</v>
      </c>
      <c r="AX167" s="16">
        <v>1</v>
      </c>
      <c r="AY167" s="85" t="e">
        <f>O167+P167+Q167+R167+AC167+AD167+#REF!+AK167+AL167+AM167+AN167+AP167+AR167+AS167+AT167+AU167+AV167+AW167+AX167</f>
        <v>#REF!</v>
      </c>
      <c r="AZ167" s="46" t="e">
        <f t="shared" si="34"/>
        <v>#REF!</v>
      </c>
      <c r="BA167" s="85" t="s">
        <v>180</v>
      </c>
      <c r="BB167" s="116" t="s">
        <v>319</v>
      </c>
      <c r="BC167" s="116"/>
      <c r="BD167" s="86" t="str">
        <f>IF(N167&gt;60%,"YES","No")</f>
        <v>YES</v>
      </c>
      <c r="BE167" s="76" t="str">
        <f>C167</f>
        <v>Encompass Health Fairlawn Reno - This is the last report</v>
      </c>
      <c r="BF167" s="76" t="str">
        <f>H167</f>
        <v>Ben Keyworth</v>
      </c>
      <c r="BG167" s="76" t="e">
        <f t="shared" si="35"/>
        <v>#REF!</v>
      </c>
    </row>
    <row r="168" spans="1:59" ht="15.6" x14ac:dyDescent="0.6">
      <c r="A168" s="84">
        <v>4</v>
      </c>
      <c r="B168" s="89">
        <v>147823</v>
      </c>
      <c r="C168" s="89" t="s">
        <v>320</v>
      </c>
      <c r="D168" s="1" t="s">
        <v>85</v>
      </c>
      <c r="E168" s="1"/>
      <c r="F168" s="28" t="s">
        <v>1</v>
      </c>
      <c r="G168" s="113"/>
      <c r="H168" s="72" t="s">
        <v>311</v>
      </c>
      <c r="I168" s="71"/>
      <c r="J168" s="114"/>
      <c r="K168" s="114"/>
      <c r="L168" s="114"/>
      <c r="M168" s="47"/>
      <c r="N168" s="47">
        <v>0.77</v>
      </c>
      <c r="O168" s="16">
        <v>4</v>
      </c>
      <c r="P168" s="16">
        <v>2</v>
      </c>
      <c r="Q168" s="16">
        <v>0</v>
      </c>
      <c r="R168" s="16">
        <v>4</v>
      </c>
      <c r="S168" s="16" t="s">
        <v>76</v>
      </c>
      <c r="T168" s="16">
        <v>296</v>
      </c>
      <c r="U168" s="16">
        <v>162.80000000000001</v>
      </c>
      <c r="V168" s="143">
        <v>2</v>
      </c>
      <c r="W168" s="46">
        <f>(T168-U168)/T168</f>
        <v>0.44999999999999996</v>
      </c>
      <c r="X168" s="16" t="s">
        <v>76</v>
      </c>
      <c r="Y168" s="16" t="s">
        <v>88</v>
      </c>
      <c r="Z168" s="16" t="s">
        <v>88</v>
      </c>
      <c r="AA168" s="16" t="s">
        <v>88</v>
      </c>
      <c r="AB168" s="16" t="s">
        <v>88</v>
      </c>
      <c r="AC168" s="16">
        <v>20</v>
      </c>
      <c r="AD168" s="16">
        <v>0</v>
      </c>
      <c r="AE168" s="16" t="s">
        <v>539</v>
      </c>
      <c r="AF168" s="16" t="s">
        <v>76</v>
      </c>
      <c r="AG168" s="16" t="s">
        <v>76</v>
      </c>
      <c r="AH168" s="16" t="s">
        <v>76</v>
      </c>
      <c r="AI168" s="16" t="s">
        <v>88</v>
      </c>
      <c r="AJ168" s="16" t="s">
        <v>88</v>
      </c>
      <c r="AK168" s="16">
        <v>4</v>
      </c>
      <c r="AL168" s="16">
        <v>2</v>
      </c>
      <c r="AM168" s="16">
        <v>1</v>
      </c>
      <c r="AN168" s="16">
        <v>1</v>
      </c>
      <c r="AO168" s="16"/>
      <c r="AP168" s="16">
        <v>3</v>
      </c>
      <c r="AQ168" s="16"/>
      <c r="AR168" s="16">
        <v>1</v>
      </c>
      <c r="AS168" s="16">
        <v>0</v>
      </c>
      <c r="AT168" s="16">
        <v>1</v>
      </c>
      <c r="AU168" s="16">
        <v>0</v>
      </c>
      <c r="AV168" s="16">
        <v>1</v>
      </c>
      <c r="AW168" s="16">
        <v>0</v>
      </c>
      <c r="AX168" s="16">
        <v>1</v>
      </c>
      <c r="AY168" s="16"/>
      <c r="AZ168" s="16"/>
      <c r="BA168" s="16"/>
      <c r="BB168" s="16"/>
      <c r="BC168" s="16"/>
      <c r="BD168" s="86" t="str">
        <f t="shared" ref="BD168:BD170" si="36">IF(N168&gt;60%,"YES","No")</f>
        <v>YES</v>
      </c>
    </row>
    <row r="169" spans="1:59" ht="15.6" x14ac:dyDescent="0.6">
      <c r="A169" s="84">
        <v>5</v>
      </c>
      <c r="B169" s="89">
        <v>147841</v>
      </c>
      <c r="C169" s="89" t="s">
        <v>321</v>
      </c>
      <c r="D169" s="1" t="s">
        <v>85</v>
      </c>
      <c r="E169" s="28"/>
      <c r="F169" s="28" t="s">
        <v>1</v>
      </c>
      <c r="G169" s="113"/>
      <c r="H169" s="72" t="s">
        <v>311</v>
      </c>
      <c r="I169" s="71"/>
      <c r="J169" s="114"/>
      <c r="K169" s="114"/>
      <c r="L169" s="114"/>
      <c r="M169" s="47"/>
      <c r="N169" s="180">
        <v>0</v>
      </c>
      <c r="O169" s="16"/>
      <c r="P169" s="16"/>
      <c r="Q169" s="16"/>
      <c r="R169" s="16"/>
      <c r="S169" s="16"/>
      <c r="T169" s="16"/>
      <c r="U169" s="16"/>
      <c r="V169" s="143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86" t="str">
        <f t="shared" si="36"/>
        <v>No</v>
      </c>
    </row>
    <row r="170" spans="1:59" ht="15.6" x14ac:dyDescent="0.6">
      <c r="A170" s="84">
        <v>6</v>
      </c>
      <c r="B170" s="89">
        <v>147858</v>
      </c>
      <c r="C170" s="89" t="s">
        <v>322</v>
      </c>
      <c r="D170" s="1" t="s">
        <v>85</v>
      </c>
      <c r="E170" s="28"/>
      <c r="F170" s="28" t="s">
        <v>1</v>
      </c>
      <c r="G170" s="113"/>
      <c r="H170" s="72" t="s">
        <v>323</v>
      </c>
      <c r="I170" s="71"/>
      <c r="J170" s="114"/>
      <c r="K170" s="114"/>
      <c r="L170" s="114"/>
      <c r="M170" s="47"/>
      <c r="N170" s="180">
        <v>0</v>
      </c>
      <c r="O170" s="16"/>
      <c r="P170" s="16"/>
      <c r="Q170" s="16"/>
      <c r="R170" s="16"/>
      <c r="S170" s="16"/>
      <c r="T170" s="16"/>
      <c r="U170" s="16"/>
      <c r="V170" s="143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86" t="str">
        <f t="shared" si="36"/>
        <v>No</v>
      </c>
    </row>
    <row r="171" spans="1:59" ht="15.6" x14ac:dyDescent="0.6">
      <c r="A171" s="84"/>
      <c r="B171" s="84">
        <v>147721</v>
      </c>
      <c r="C171" s="84" t="s">
        <v>324</v>
      </c>
      <c r="D171" s="28" t="s">
        <v>76</v>
      </c>
      <c r="E171" s="72"/>
      <c r="F171" s="72"/>
      <c r="G171" s="72"/>
      <c r="H171" s="29" t="s">
        <v>325</v>
      </c>
      <c r="I171" s="71"/>
      <c r="J171" s="114"/>
      <c r="K171" s="114"/>
      <c r="L171" s="114"/>
      <c r="M171" s="47"/>
      <c r="N171" s="47"/>
      <c r="O171" s="16">
        <v>4</v>
      </c>
      <c r="P171" s="16">
        <v>0</v>
      </c>
      <c r="Q171" s="16">
        <v>1</v>
      </c>
      <c r="R171" s="16">
        <v>0</v>
      </c>
      <c r="S171" s="16"/>
      <c r="T171" s="109"/>
      <c r="U171" s="109"/>
      <c r="V171" s="143"/>
      <c r="W171" s="46"/>
      <c r="X171" s="5"/>
      <c r="Y171" s="110">
        <v>0.96</v>
      </c>
      <c r="Z171" s="110">
        <v>0.42</v>
      </c>
      <c r="AA171" s="118">
        <v>0.56000000000000005</v>
      </c>
      <c r="AB171" s="110" t="s">
        <v>85</v>
      </c>
      <c r="AC171" s="16">
        <v>11</v>
      </c>
      <c r="AD171" s="16">
        <v>0</v>
      </c>
      <c r="AE171" s="16"/>
      <c r="AF171" s="16">
        <v>3</v>
      </c>
      <c r="AG171" s="111">
        <v>0.22</v>
      </c>
      <c r="AH171" s="144" t="s">
        <v>76</v>
      </c>
      <c r="AI171" s="16" t="s">
        <v>88</v>
      </c>
      <c r="AJ171" s="16" t="s">
        <v>88</v>
      </c>
      <c r="AK171" s="16">
        <v>5</v>
      </c>
      <c r="AL171" s="16">
        <v>2</v>
      </c>
      <c r="AM171" s="16">
        <v>0</v>
      </c>
      <c r="AN171" s="16">
        <v>0</v>
      </c>
      <c r="AO171" s="16"/>
      <c r="AP171" s="16">
        <v>3</v>
      </c>
      <c r="AQ171" s="16"/>
      <c r="AR171" s="16">
        <v>2</v>
      </c>
      <c r="AS171" s="16">
        <v>1</v>
      </c>
      <c r="AT171" s="16">
        <v>1</v>
      </c>
      <c r="AU171" s="16">
        <v>0</v>
      </c>
      <c r="AV171" s="16">
        <v>0</v>
      </c>
      <c r="AW171" s="16">
        <v>1</v>
      </c>
      <c r="AX171" s="16">
        <v>1</v>
      </c>
      <c r="AY171" s="85">
        <f t="shared" ref="AY171" si="37">O171+P171+Q171+R171+AC171+AD171+AF171+AK171+AL171+AM171+AN171+AP171+AR171+AS171+AT171+AU171+AV171+AW171+AX171</f>
        <v>35</v>
      </c>
      <c r="AZ171" s="46">
        <f t="shared" ref="AZ171" si="38">AY171/55</f>
        <v>0.63636363636363635</v>
      </c>
      <c r="BA171" s="85" t="s">
        <v>180</v>
      </c>
      <c r="BB171" s="116"/>
      <c r="BC171" s="116"/>
      <c r="BD171" s="86" t="str">
        <f t="shared" ref="BD171" si="39">IF(N171&gt;60%,"YES","No")</f>
        <v>No</v>
      </c>
      <c r="BE171" s="76" t="str">
        <f t="shared" ref="BE171" si="40">C171</f>
        <v>MDMC: 3ST Labor &amp; Delivery Renovation</v>
      </c>
      <c r="BF171" s="87" t="str">
        <f t="shared" ref="BF171" si="41">H171</f>
        <v xml:space="preserve">Mark Roan/Austin Madrigal/Kat </v>
      </c>
      <c r="BG171" s="87" t="str">
        <f t="shared" ref="BG171" si="42">IF(AZ171&gt;65%,"No need to contact","need to contact")</f>
        <v>need to contact</v>
      </c>
    </row>
    <row r="172" spans="1:59" ht="14.1" customHeight="1" x14ac:dyDescent="0.6">
      <c r="A172" s="84"/>
      <c r="B172" s="84" t="s">
        <v>82</v>
      </c>
      <c r="C172" s="76" t="s">
        <v>326</v>
      </c>
      <c r="D172" s="28" t="s">
        <v>82</v>
      </c>
      <c r="E172" s="28"/>
      <c r="F172" s="28" t="s">
        <v>82</v>
      </c>
      <c r="G172" s="113"/>
      <c r="H172" s="72" t="s">
        <v>318</v>
      </c>
      <c r="I172" s="71"/>
      <c r="J172" s="114"/>
      <c r="K172" s="114"/>
      <c r="L172" s="114"/>
      <c r="M172" s="44"/>
      <c r="N172" s="47"/>
      <c r="O172" s="16"/>
      <c r="P172" s="16"/>
      <c r="Q172" s="16"/>
      <c r="R172" s="16"/>
      <c r="S172" s="16"/>
      <c r="T172" s="16"/>
      <c r="U172" s="16"/>
      <c r="V172" s="143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71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85"/>
      <c r="AZ172" s="46"/>
      <c r="BA172" s="85"/>
      <c r="BB172" s="116"/>
      <c r="BC172" s="116"/>
      <c r="BD172" s="86"/>
    </row>
    <row r="173" spans="1:59" ht="15.6" x14ac:dyDescent="0.6">
      <c r="A173" s="84"/>
      <c r="B173" s="84">
        <v>147721</v>
      </c>
      <c r="C173" s="84" t="s">
        <v>324</v>
      </c>
      <c r="D173" s="28" t="s">
        <v>76</v>
      </c>
      <c r="E173" s="72"/>
      <c r="F173" s="72"/>
      <c r="G173" s="72"/>
      <c r="H173" s="29" t="s">
        <v>325</v>
      </c>
      <c r="I173" s="71"/>
      <c r="J173" s="114"/>
      <c r="K173" s="114"/>
      <c r="L173" s="114"/>
      <c r="M173" s="47"/>
      <c r="N173" s="47"/>
      <c r="O173" s="16">
        <v>4</v>
      </c>
      <c r="P173" s="16">
        <v>0</v>
      </c>
      <c r="Q173" s="16">
        <v>1</v>
      </c>
      <c r="R173" s="16">
        <v>0</v>
      </c>
      <c r="S173" s="16"/>
      <c r="T173" s="109"/>
      <c r="U173" s="109"/>
      <c r="V173" s="143"/>
      <c r="W173" s="46"/>
      <c r="X173" s="5"/>
      <c r="Y173" s="110">
        <v>0.96</v>
      </c>
      <c r="Z173" s="110">
        <v>0.42</v>
      </c>
      <c r="AA173" s="118">
        <v>0.56000000000000005</v>
      </c>
      <c r="AB173" s="110" t="s">
        <v>85</v>
      </c>
      <c r="AC173" s="16">
        <v>11</v>
      </c>
      <c r="AD173" s="16">
        <v>0</v>
      </c>
      <c r="AE173" s="16"/>
      <c r="AF173" s="16">
        <v>3</v>
      </c>
      <c r="AG173" s="111">
        <v>0.22</v>
      </c>
      <c r="AH173" s="144" t="s">
        <v>76</v>
      </c>
      <c r="AI173" s="16" t="s">
        <v>88</v>
      </c>
      <c r="AJ173" s="16" t="s">
        <v>88</v>
      </c>
      <c r="AK173" s="16">
        <v>5</v>
      </c>
      <c r="AL173" s="16">
        <v>2</v>
      </c>
      <c r="AM173" s="16">
        <v>0</v>
      </c>
      <c r="AN173" s="16">
        <v>0</v>
      </c>
      <c r="AO173" s="16"/>
      <c r="AP173" s="16">
        <v>3</v>
      </c>
      <c r="AQ173" s="16"/>
      <c r="AR173" s="16">
        <v>2</v>
      </c>
      <c r="AS173" s="16">
        <v>1</v>
      </c>
      <c r="AT173" s="16">
        <v>1</v>
      </c>
      <c r="AU173" s="16">
        <v>0</v>
      </c>
      <c r="AV173" s="16">
        <v>0</v>
      </c>
      <c r="AW173" s="16">
        <v>1</v>
      </c>
      <c r="AX173" s="16">
        <v>1</v>
      </c>
      <c r="AY173" s="85">
        <f t="shared" ref="AY173" si="43">O173+P173+Q173+R173+AC173+AD173+AF173+AK173+AL173+AM173+AN173+AP173+AR173+AS173+AT173+AU173+AV173+AW173+AX173</f>
        <v>35</v>
      </c>
      <c r="AZ173" s="46">
        <f t="shared" ref="AZ173" si="44">AY173/55</f>
        <v>0.63636363636363635</v>
      </c>
      <c r="BA173" s="85" t="s">
        <v>180</v>
      </c>
      <c r="BB173" s="116"/>
      <c r="BC173" s="116"/>
      <c r="BD173" s="86" t="str">
        <f>IF(N173&gt;60%,"YES","No")</f>
        <v>No</v>
      </c>
      <c r="BE173" s="76" t="str">
        <f t="shared" ref="BE173" si="45">C173</f>
        <v>MDMC: 3ST Labor &amp; Delivery Renovation</v>
      </c>
      <c r="BF173" s="87" t="str">
        <f t="shared" ref="BF173" si="46">H173</f>
        <v xml:space="preserve">Mark Roan/Austin Madrigal/Kat </v>
      </c>
      <c r="BG173" s="87" t="str">
        <f t="shared" ref="BG173" si="47">IF(AZ173&gt;65%,"No need to contact","need to contact")</f>
        <v>need to contact</v>
      </c>
    </row>
    <row r="174" spans="1:59" ht="14.1" customHeight="1" x14ac:dyDescent="0.6">
      <c r="A174" s="84"/>
      <c r="D174" s="28"/>
      <c r="E174" s="28"/>
      <c r="F174" s="28"/>
      <c r="G174" s="113"/>
      <c r="H174" s="72"/>
      <c r="I174" s="71"/>
      <c r="J174" s="114"/>
      <c r="K174" s="114"/>
      <c r="L174" s="114"/>
      <c r="M174" s="44"/>
      <c r="N174" s="47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85"/>
      <c r="AZ174" s="46"/>
      <c r="BA174" s="85"/>
      <c r="BB174" s="116"/>
      <c r="BC174" s="116"/>
      <c r="BD174" s="86"/>
    </row>
    <row r="175" spans="1:59" ht="14.5" hidden="1" customHeight="1" x14ac:dyDescent="0.6">
      <c r="A175" s="84"/>
      <c r="B175" s="84">
        <v>147834</v>
      </c>
      <c r="C175" s="65" t="s">
        <v>327</v>
      </c>
      <c r="D175" s="1"/>
      <c r="E175" s="1"/>
      <c r="F175" s="16"/>
      <c r="G175" s="113"/>
      <c r="H175" s="72" t="s">
        <v>311</v>
      </c>
      <c r="I175" s="71"/>
      <c r="J175" s="114"/>
      <c r="K175" s="114"/>
      <c r="L175" s="114"/>
      <c r="M175" s="44"/>
      <c r="N175" s="47"/>
      <c r="O175" s="16">
        <v>-6</v>
      </c>
      <c r="P175" s="16">
        <v>10</v>
      </c>
      <c r="Q175" s="16">
        <v>1</v>
      </c>
      <c r="R175" s="16">
        <v>0</v>
      </c>
      <c r="S175" s="16"/>
      <c r="T175" s="109"/>
      <c r="U175" s="109"/>
      <c r="V175" s="109"/>
      <c r="W175" s="46"/>
      <c r="X175" s="5"/>
      <c r="Y175" s="110">
        <v>0.96</v>
      </c>
      <c r="Z175" s="110">
        <v>5.62</v>
      </c>
      <c r="AA175" s="118">
        <v>-4.84</v>
      </c>
      <c r="AB175" s="110" t="s">
        <v>85</v>
      </c>
      <c r="AC175" s="16">
        <v>11</v>
      </c>
      <c r="AD175" s="16">
        <v>0</v>
      </c>
      <c r="AE175" s="16"/>
      <c r="AF175" s="16">
        <v>-7</v>
      </c>
      <c r="AG175" s="111">
        <v>0.22</v>
      </c>
      <c r="AH175" s="112" t="s">
        <v>76</v>
      </c>
      <c r="AI175" s="111"/>
      <c r="AJ175" s="5"/>
      <c r="AK175" s="16">
        <v>5</v>
      </c>
      <c r="AL175" s="16">
        <v>2</v>
      </c>
      <c r="AM175" s="16">
        <v>0</v>
      </c>
      <c r="AN175" s="16">
        <v>0</v>
      </c>
      <c r="AO175" s="16"/>
      <c r="AP175" s="16">
        <v>3</v>
      </c>
      <c r="AQ175" s="16"/>
      <c r="AR175" s="16">
        <v>2</v>
      </c>
      <c r="AS175" s="16">
        <v>1</v>
      </c>
      <c r="AT175" s="16">
        <v>1</v>
      </c>
      <c r="AU175" s="16">
        <v>0</v>
      </c>
      <c r="AV175" s="16">
        <v>0</v>
      </c>
      <c r="AW175" s="16">
        <v>1</v>
      </c>
      <c r="AX175" s="16">
        <v>1</v>
      </c>
      <c r="AY175" s="85">
        <f t="shared" ref="AY175:AY184" si="48">O175+P175+Q175+R175+AC175+AD175+AF175+AK175+AL175+AM175+AN175+AP175+AR175+AS175+AT175+AU175+AV175+AW175+AX175</f>
        <v>25</v>
      </c>
      <c r="AZ175" s="46">
        <f t="shared" si="34"/>
        <v>0.45454545454545453</v>
      </c>
      <c r="BA175" s="85" t="s">
        <v>180</v>
      </c>
      <c r="BB175" s="116"/>
      <c r="BC175" s="116"/>
      <c r="BD175" s="86" t="str">
        <f t="shared" ref="BD175:BD184" si="49">IF(N175&gt;60%,"YES","No")</f>
        <v>No</v>
      </c>
      <c r="BE175" s="76" t="str">
        <f t="shared" ref="BE175:BE184" si="50">C175</f>
        <v>THPPP Fluoro Equip Replace</v>
      </c>
      <c r="BF175" s="76" t="str">
        <f t="shared" ref="BF175:BF184" si="51">H175</f>
        <v xml:space="preserve">Wes Bowen / Beth </v>
      </c>
      <c r="BG175" s="76" t="str">
        <f t="shared" si="35"/>
        <v>need to contact</v>
      </c>
    </row>
    <row r="176" spans="1:59" ht="15" hidden="1" customHeight="1" x14ac:dyDescent="0.6">
      <c r="A176" s="84"/>
      <c r="B176" s="84">
        <v>147833</v>
      </c>
      <c r="C176" s="76" t="s">
        <v>328</v>
      </c>
      <c r="D176" s="45"/>
      <c r="E176" s="45"/>
      <c r="F176" s="45"/>
      <c r="G176" s="45"/>
      <c r="H176" s="72" t="s">
        <v>311</v>
      </c>
      <c r="I176" s="45"/>
      <c r="J176" s="45"/>
      <c r="K176" s="45"/>
      <c r="L176" s="45"/>
      <c r="M176" s="45"/>
      <c r="N176" s="47"/>
      <c r="O176" s="16">
        <v>-5</v>
      </c>
      <c r="P176" s="16">
        <v>9</v>
      </c>
      <c r="Q176" s="16">
        <v>1</v>
      </c>
      <c r="R176" s="16">
        <v>0</v>
      </c>
      <c r="S176" s="16"/>
      <c r="T176" s="109"/>
      <c r="U176" s="109"/>
      <c r="V176" s="109"/>
      <c r="W176" s="46"/>
      <c r="X176" s="5"/>
      <c r="Y176" s="110">
        <v>0.96</v>
      </c>
      <c r="Z176" s="110">
        <v>5.0999999999999996</v>
      </c>
      <c r="AA176" s="118">
        <v>-4.3</v>
      </c>
      <c r="AB176" s="110" t="s">
        <v>161</v>
      </c>
      <c r="AC176" s="16">
        <v>11</v>
      </c>
      <c r="AD176" s="16">
        <v>0</v>
      </c>
      <c r="AE176" s="16"/>
      <c r="AF176" s="16">
        <v>-6</v>
      </c>
      <c r="AG176" s="111">
        <v>0.22</v>
      </c>
      <c r="AH176" s="112" t="s">
        <v>76</v>
      </c>
      <c r="AI176" s="111"/>
      <c r="AJ176" s="5"/>
      <c r="AK176" s="16">
        <v>5</v>
      </c>
      <c r="AL176" s="16">
        <v>2</v>
      </c>
      <c r="AM176" s="16">
        <v>0</v>
      </c>
      <c r="AN176" s="16">
        <v>0</v>
      </c>
      <c r="AO176" s="16"/>
      <c r="AP176" s="16">
        <v>3</v>
      </c>
      <c r="AQ176" s="16"/>
      <c r="AR176" s="16">
        <v>2</v>
      </c>
      <c r="AS176" s="16">
        <v>1</v>
      </c>
      <c r="AT176" s="16">
        <v>1</v>
      </c>
      <c r="AU176" s="16">
        <v>0</v>
      </c>
      <c r="AV176" s="16">
        <v>0</v>
      </c>
      <c r="AW176" s="16">
        <v>1</v>
      </c>
      <c r="AX176" s="16">
        <v>1</v>
      </c>
      <c r="AY176" s="85">
        <f t="shared" si="48"/>
        <v>26</v>
      </c>
      <c r="AZ176" s="46">
        <f t="shared" si="34"/>
        <v>0.47272727272727272</v>
      </c>
      <c r="BA176" s="85" t="s">
        <v>180</v>
      </c>
      <c r="BD176" s="86" t="str">
        <f t="shared" si="49"/>
        <v>No</v>
      </c>
      <c r="BE176" s="76" t="str">
        <f t="shared" si="50"/>
        <v>THPPP X-Ray Equip Replace</v>
      </c>
      <c r="BF176" s="76" t="str">
        <f t="shared" si="51"/>
        <v xml:space="preserve">Wes Bowen / Beth </v>
      </c>
      <c r="BG176" s="76" t="str">
        <f t="shared" si="35"/>
        <v>need to contact</v>
      </c>
    </row>
    <row r="177" spans="1:137" ht="15" hidden="1" customHeight="1" x14ac:dyDescent="0.6">
      <c r="A177" s="84"/>
      <c r="B177" s="84">
        <v>147838</v>
      </c>
      <c r="C177" s="76" t="s">
        <v>329</v>
      </c>
      <c r="D177" s="45"/>
      <c r="E177" s="45"/>
      <c r="F177" s="45"/>
      <c r="G177" s="45"/>
      <c r="H177" s="72" t="s">
        <v>330</v>
      </c>
      <c r="I177" s="45"/>
      <c r="J177" s="45"/>
      <c r="K177" s="45"/>
      <c r="L177" s="45"/>
      <c r="M177" s="45"/>
      <c r="N177" s="47"/>
      <c r="O177" s="16">
        <v>-4</v>
      </c>
      <c r="P177" s="16">
        <v>8</v>
      </c>
      <c r="Q177" s="16">
        <v>1</v>
      </c>
      <c r="R177" s="16">
        <v>0</v>
      </c>
      <c r="S177" s="16"/>
      <c r="T177" s="109"/>
      <c r="U177" s="109"/>
      <c r="V177" s="109"/>
      <c r="W177" s="46"/>
      <c r="X177" s="5"/>
      <c r="Y177" s="110">
        <v>0.96</v>
      </c>
      <c r="Z177" s="110">
        <v>4.58</v>
      </c>
      <c r="AA177" s="118">
        <v>-3.76</v>
      </c>
      <c r="AB177" s="110" t="s">
        <v>85</v>
      </c>
      <c r="AC177" s="16">
        <v>11</v>
      </c>
      <c r="AD177" s="16">
        <v>0</v>
      </c>
      <c r="AE177" s="16"/>
      <c r="AF177" s="16">
        <v>-5</v>
      </c>
      <c r="AG177" s="111">
        <v>0.22</v>
      </c>
      <c r="AH177" s="112" t="s">
        <v>76</v>
      </c>
      <c r="AI177" s="111"/>
      <c r="AJ177" s="5"/>
      <c r="AK177" s="16">
        <v>5</v>
      </c>
      <c r="AL177" s="16">
        <v>2</v>
      </c>
      <c r="AM177" s="16">
        <v>0</v>
      </c>
      <c r="AN177" s="16">
        <v>0</v>
      </c>
      <c r="AO177" s="16"/>
      <c r="AP177" s="16">
        <v>3</v>
      </c>
      <c r="AQ177" s="16"/>
      <c r="AR177" s="16">
        <v>2</v>
      </c>
      <c r="AS177" s="16">
        <v>1</v>
      </c>
      <c r="AT177" s="16">
        <v>1</v>
      </c>
      <c r="AU177" s="16">
        <v>0</v>
      </c>
      <c r="AV177" s="16">
        <v>0</v>
      </c>
      <c r="AW177" s="16">
        <v>1</v>
      </c>
      <c r="AX177" s="16">
        <v>1</v>
      </c>
      <c r="AY177" s="85">
        <f t="shared" si="48"/>
        <v>27</v>
      </c>
      <c r="AZ177" s="46">
        <f t="shared" si="34"/>
        <v>0.49090909090909091</v>
      </c>
      <c r="BA177" s="85" t="s">
        <v>180</v>
      </c>
      <c r="BD177" s="86" t="str">
        <f t="shared" si="49"/>
        <v>No</v>
      </c>
      <c r="BE177" s="76" t="str">
        <f t="shared" si="50"/>
        <v>Baylor Cancer Center Ceiling Finish Refresh</v>
      </c>
      <c r="BF177" s="76" t="str">
        <f t="shared" si="51"/>
        <v xml:space="preserve">Nicki Hellem / </v>
      </c>
      <c r="BG177" s="76" t="str">
        <f t="shared" si="35"/>
        <v>need to contact</v>
      </c>
    </row>
    <row r="178" spans="1:137" ht="15.6" hidden="1" x14ac:dyDescent="0.6">
      <c r="A178" s="84"/>
      <c r="B178" s="84">
        <v>147837</v>
      </c>
      <c r="C178" s="84" t="s">
        <v>331</v>
      </c>
      <c r="D178" s="71"/>
      <c r="E178" s="72"/>
      <c r="F178" s="72"/>
      <c r="G178" s="72"/>
      <c r="H178" s="72" t="s">
        <v>330</v>
      </c>
      <c r="I178" s="71"/>
      <c r="J178" s="114"/>
      <c r="K178" s="114"/>
      <c r="L178" s="114"/>
      <c r="M178" s="47"/>
      <c r="N178" s="47"/>
      <c r="O178" s="16">
        <v>-3</v>
      </c>
      <c r="P178" s="16">
        <v>7</v>
      </c>
      <c r="Q178" s="16">
        <v>1</v>
      </c>
      <c r="R178" s="16">
        <v>0</v>
      </c>
      <c r="S178" s="16"/>
      <c r="T178" s="109"/>
      <c r="U178" s="109"/>
      <c r="V178" s="109"/>
      <c r="W178" s="46"/>
      <c r="X178" s="5"/>
      <c r="Y178" s="110">
        <v>0.96</v>
      </c>
      <c r="Z178" s="110">
        <v>4.0599999999999996</v>
      </c>
      <c r="AA178" s="118">
        <v>-3.22</v>
      </c>
      <c r="AB178" s="110" t="s">
        <v>161</v>
      </c>
      <c r="AC178" s="16">
        <v>11</v>
      </c>
      <c r="AD178" s="16">
        <v>0</v>
      </c>
      <c r="AE178" s="16"/>
      <c r="AF178" s="16">
        <v>-4</v>
      </c>
      <c r="AG178" s="111">
        <v>0.22</v>
      </c>
      <c r="AH178" s="112" t="s">
        <v>76</v>
      </c>
      <c r="AI178" s="111"/>
      <c r="AJ178" s="5"/>
      <c r="AK178" s="16">
        <v>5</v>
      </c>
      <c r="AL178" s="16">
        <v>2</v>
      </c>
      <c r="AM178" s="16">
        <v>0</v>
      </c>
      <c r="AN178" s="16">
        <v>0</v>
      </c>
      <c r="AO178" s="16"/>
      <c r="AP178" s="16">
        <v>3</v>
      </c>
      <c r="AQ178" s="16"/>
      <c r="AR178" s="16">
        <v>2</v>
      </c>
      <c r="AS178" s="16">
        <v>1</v>
      </c>
      <c r="AT178" s="16">
        <v>1</v>
      </c>
      <c r="AU178" s="16">
        <v>0</v>
      </c>
      <c r="AV178" s="16">
        <v>0</v>
      </c>
      <c r="AW178" s="16">
        <v>1</v>
      </c>
      <c r="AX178" s="16">
        <v>1</v>
      </c>
      <c r="AY178" s="85">
        <f t="shared" si="48"/>
        <v>28</v>
      </c>
      <c r="AZ178" s="46">
        <f t="shared" si="34"/>
        <v>0.50909090909090904</v>
      </c>
      <c r="BA178" s="85" t="s">
        <v>180</v>
      </c>
      <c r="BB178" s="116"/>
      <c r="BC178" s="116"/>
      <c r="BD178" s="86" t="str">
        <f t="shared" si="49"/>
        <v>No</v>
      </c>
      <c r="BE178" s="76" t="str">
        <f t="shared" si="50"/>
        <v>Renown Health South Meadows Campus Map Revisions</v>
      </c>
      <c r="BF178" s="76" t="str">
        <f t="shared" si="51"/>
        <v xml:space="preserve">Nicki Hellem / </v>
      </c>
      <c r="BG178" s="76" t="str">
        <f t="shared" si="35"/>
        <v>need to contact</v>
      </c>
    </row>
    <row r="179" spans="1:137" ht="15.6" hidden="1" x14ac:dyDescent="0.6">
      <c r="A179" s="84"/>
      <c r="B179" s="84">
        <v>147849</v>
      </c>
      <c r="C179" s="84" t="s">
        <v>332</v>
      </c>
      <c r="D179" s="28" t="s">
        <v>76</v>
      </c>
      <c r="E179" s="72"/>
      <c r="F179" s="72"/>
      <c r="G179" s="72"/>
      <c r="H179" s="72" t="s">
        <v>330</v>
      </c>
      <c r="I179" s="71"/>
      <c r="J179" s="114"/>
      <c r="K179" s="114"/>
      <c r="L179" s="114"/>
      <c r="M179" s="47"/>
      <c r="N179" s="47"/>
      <c r="O179" s="16">
        <v>-2</v>
      </c>
      <c r="P179" s="16">
        <v>6</v>
      </c>
      <c r="Q179" s="16">
        <v>1</v>
      </c>
      <c r="R179" s="16">
        <v>0</v>
      </c>
      <c r="S179" s="16"/>
      <c r="T179" s="109"/>
      <c r="U179" s="109"/>
      <c r="V179" s="109"/>
      <c r="W179" s="46"/>
      <c r="X179" s="5"/>
      <c r="Y179" s="110">
        <v>0.96</v>
      </c>
      <c r="Z179" s="110">
        <v>3.54</v>
      </c>
      <c r="AA179" s="118">
        <v>-2.68</v>
      </c>
      <c r="AB179" s="110" t="s">
        <v>85</v>
      </c>
      <c r="AC179" s="16">
        <v>11</v>
      </c>
      <c r="AD179" s="16">
        <v>0</v>
      </c>
      <c r="AE179" s="16"/>
      <c r="AF179" s="16">
        <v>-3</v>
      </c>
      <c r="AG179" s="111">
        <v>0.22</v>
      </c>
      <c r="AH179" s="112" t="s">
        <v>76</v>
      </c>
      <c r="AI179" s="111"/>
      <c r="AJ179" s="5"/>
      <c r="AK179" s="16">
        <v>5</v>
      </c>
      <c r="AL179" s="16">
        <v>2</v>
      </c>
      <c r="AM179" s="16">
        <v>0</v>
      </c>
      <c r="AN179" s="16">
        <v>0</v>
      </c>
      <c r="AO179" s="16"/>
      <c r="AP179" s="16">
        <v>3</v>
      </c>
      <c r="AQ179" s="16"/>
      <c r="AR179" s="16">
        <v>2</v>
      </c>
      <c r="AS179" s="16">
        <v>1</v>
      </c>
      <c r="AT179" s="16">
        <v>1</v>
      </c>
      <c r="AU179" s="16">
        <v>0</v>
      </c>
      <c r="AV179" s="16">
        <v>0</v>
      </c>
      <c r="AW179" s="16">
        <v>1</v>
      </c>
      <c r="AX179" s="16">
        <v>1</v>
      </c>
      <c r="AY179" s="85">
        <f t="shared" si="48"/>
        <v>29</v>
      </c>
      <c r="AZ179" s="46">
        <f t="shared" si="34"/>
        <v>0.52727272727272723</v>
      </c>
      <c r="BA179" s="85" t="s">
        <v>180</v>
      </c>
      <c r="BB179" s="116"/>
      <c r="BC179" s="116"/>
      <c r="BD179" s="86" t="str">
        <f t="shared" si="49"/>
        <v>No</v>
      </c>
      <c r="BE179" s="76" t="str">
        <f t="shared" si="50"/>
        <v>BSWI 2-4 Patient Lift Replace</v>
      </c>
      <c r="BF179" s="76" t="str">
        <f t="shared" si="51"/>
        <v xml:space="preserve">Nicki Hellem / </v>
      </c>
      <c r="BG179" s="76" t="str">
        <f t="shared" si="35"/>
        <v>need to contact</v>
      </c>
    </row>
    <row r="180" spans="1:137" ht="15.6" hidden="1" x14ac:dyDescent="0.6">
      <c r="A180" s="84"/>
      <c r="B180" s="84">
        <v>141253</v>
      </c>
      <c r="C180" s="84" t="s">
        <v>333</v>
      </c>
      <c r="D180" s="28" t="s">
        <v>76</v>
      </c>
      <c r="E180" s="72"/>
      <c r="F180" s="72"/>
      <c r="G180" s="72"/>
      <c r="H180" s="72" t="s">
        <v>334</v>
      </c>
      <c r="I180" s="71"/>
      <c r="J180" s="114"/>
      <c r="K180" s="114"/>
      <c r="L180" s="114"/>
      <c r="M180" s="47"/>
      <c r="N180" s="47"/>
      <c r="O180" s="16">
        <v>-1</v>
      </c>
      <c r="P180" s="16">
        <v>5</v>
      </c>
      <c r="Q180" s="16">
        <v>1</v>
      </c>
      <c r="R180" s="16">
        <v>0</v>
      </c>
      <c r="S180" s="16"/>
      <c r="T180" s="109"/>
      <c r="U180" s="109"/>
      <c r="V180" s="109"/>
      <c r="W180" s="46"/>
      <c r="X180" s="5"/>
      <c r="Y180" s="110">
        <v>0.96</v>
      </c>
      <c r="Z180" s="110">
        <v>3.02</v>
      </c>
      <c r="AA180" s="118">
        <v>-2.14</v>
      </c>
      <c r="AB180" s="110" t="s">
        <v>161</v>
      </c>
      <c r="AC180" s="16">
        <v>11</v>
      </c>
      <c r="AD180" s="16">
        <v>0</v>
      </c>
      <c r="AE180" s="16"/>
      <c r="AF180" s="16">
        <v>-2</v>
      </c>
      <c r="AG180" s="111">
        <v>0.22</v>
      </c>
      <c r="AH180" s="112" t="s">
        <v>76</v>
      </c>
      <c r="AI180" s="111"/>
      <c r="AJ180" s="5"/>
      <c r="AK180" s="16">
        <v>5</v>
      </c>
      <c r="AL180" s="16">
        <v>2</v>
      </c>
      <c r="AM180" s="16">
        <v>0</v>
      </c>
      <c r="AN180" s="16">
        <v>0</v>
      </c>
      <c r="AO180" s="16"/>
      <c r="AP180" s="16">
        <v>3</v>
      </c>
      <c r="AQ180" s="16"/>
      <c r="AR180" s="16">
        <v>2</v>
      </c>
      <c r="AS180" s="16">
        <v>1</v>
      </c>
      <c r="AT180" s="16">
        <v>1</v>
      </c>
      <c r="AU180" s="16">
        <v>0</v>
      </c>
      <c r="AV180" s="16">
        <v>0</v>
      </c>
      <c r="AW180" s="16">
        <v>1</v>
      </c>
      <c r="AX180" s="16">
        <v>1</v>
      </c>
      <c r="AY180" s="85">
        <f t="shared" si="48"/>
        <v>30</v>
      </c>
      <c r="AZ180" s="46">
        <f t="shared" si="34"/>
        <v>0.54545454545454541</v>
      </c>
      <c r="BA180" s="85" t="s">
        <v>180</v>
      </c>
      <c r="BB180" s="116"/>
      <c r="BC180" s="116"/>
      <c r="BD180" s="86" t="str">
        <f t="shared" si="49"/>
        <v>No</v>
      </c>
      <c r="BE180" s="76" t="str">
        <f t="shared" si="50"/>
        <v>Baylor Admin Sublease Study</v>
      </c>
      <c r="BF180" s="76" t="str">
        <f t="shared" si="51"/>
        <v>Amber Wernick</v>
      </c>
      <c r="BG180" s="76" t="str">
        <f t="shared" si="35"/>
        <v>need to contact</v>
      </c>
    </row>
    <row r="181" spans="1:137" ht="15.6" hidden="1" x14ac:dyDescent="0.6">
      <c r="A181" s="84"/>
      <c r="B181" s="84">
        <v>147439.00200000001</v>
      </c>
      <c r="C181" s="84" t="s">
        <v>335</v>
      </c>
      <c r="D181" s="28" t="s">
        <v>76</v>
      </c>
      <c r="E181" s="72"/>
      <c r="F181" s="72"/>
      <c r="G181" s="72"/>
      <c r="H181" s="72" t="s">
        <v>330</v>
      </c>
      <c r="I181" s="71"/>
      <c r="J181" s="114"/>
      <c r="K181" s="114"/>
      <c r="L181" s="114"/>
      <c r="M181" s="47"/>
      <c r="N181" s="47"/>
      <c r="O181" s="16">
        <v>0</v>
      </c>
      <c r="P181" s="16">
        <v>4</v>
      </c>
      <c r="Q181" s="16">
        <v>1</v>
      </c>
      <c r="R181" s="16">
        <v>0</v>
      </c>
      <c r="S181" s="16"/>
      <c r="T181" s="109"/>
      <c r="U181" s="109"/>
      <c r="V181" s="109"/>
      <c r="W181" s="46"/>
      <c r="X181" s="5"/>
      <c r="Y181" s="110">
        <v>0.96</v>
      </c>
      <c r="Z181" s="110">
        <v>2.5</v>
      </c>
      <c r="AA181" s="118">
        <v>-1.6</v>
      </c>
      <c r="AB181" s="110" t="s">
        <v>85</v>
      </c>
      <c r="AC181" s="16">
        <v>11</v>
      </c>
      <c r="AD181" s="16">
        <v>0</v>
      </c>
      <c r="AE181" s="16"/>
      <c r="AF181" s="16">
        <v>-1</v>
      </c>
      <c r="AG181" s="111">
        <v>0.22</v>
      </c>
      <c r="AH181" s="112" t="s">
        <v>76</v>
      </c>
      <c r="AI181" s="111"/>
      <c r="AJ181" s="5"/>
      <c r="AK181" s="16">
        <v>5</v>
      </c>
      <c r="AL181" s="16">
        <v>2</v>
      </c>
      <c r="AM181" s="16">
        <v>0</v>
      </c>
      <c r="AN181" s="16">
        <v>0</v>
      </c>
      <c r="AO181" s="16"/>
      <c r="AP181" s="16">
        <v>3</v>
      </c>
      <c r="AQ181" s="16"/>
      <c r="AR181" s="16">
        <v>2</v>
      </c>
      <c r="AS181" s="16">
        <v>1</v>
      </c>
      <c r="AT181" s="16">
        <v>1</v>
      </c>
      <c r="AU181" s="16">
        <v>0</v>
      </c>
      <c r="AV181" s="16">
        <v>0</v>
      </c>
      <c r="AW181" s="16">
        <v>1</v>
      </c>
      <c r="AX181" s="16">
        <v>1</v>
      </c>
      <c r="AY181" s="85">
        <f t="shared" si="48"/>
        <v>31</v>
      </c>
      <c r="AZ181" s="46">
        <f t="shared" si="34"/>
        <v>0.5636363636363636</v>
      </c>
      <c r="BA181" s="85" t="s">
        <v>180</v>
      </c>
      <c r="BB181" s="116"/>
      <c r="BC181" s="116"/>
      <c r="BD181" s="86" t="str">
        <f t="shared" si="49"/>
        <v>No</v>
      </c>
      <c r="BE181" s="76" t="str">
        <f t="shared" si="50"/>
        <v>Renown FF&amp;E</v>
      </c>
      <c r="BF181" s="76" t="str">
        <f t="shared" si="51"/>
        <v xml:space="preserve">Nicki Hellem / </v>
      </c>
      <c r="BG181" s="76" t="str">
        <f t="shared" si="35"/>
        <v>need to contact</v>
      </c>
    </row>
    <row r="182" spans="1:137" ht="15.6" hidden="1" x14ac:dyDescent="0.6">
      <c r="A182" s="84"/>
      <c r="B182" s="84">
        <v>147787</v>
      </c>
      <c r="C182" s="84" t="s">
        <v>240</v>
      </c>
      <c r="D182" s="28" t="s">
        <v>76</v>
      </c>
      <c r="E182" s="72"/>
      <c r="F182" s="72"/>
      <c r="G182" s="72"/>
      <c r="H182" s="72" t="s">
        <v>330</v>
      </c>
      <c r="I182" s="71"/>
      <c r="J182" s="114"/>
      <c r="K182" s="114"/>
      <c r="L182" s="114"/>
      <c r="M182" s="47"/>
      <c r="N182" s="47"/>
      <c r="O182" s="16">
        <v>1</v>
      </c>
      <c r="P182" s="16">
        <v>3</v>
      </c>
      <c r="Q182" s="16">
        <v>1</v>
      </c>
      <c r="R182" s="16">
        <v>0</v>
      </c>
      <c r="S182" s="16"/>
      <c r="T182" s="109"/>
      <c r="U182" s="109"/>
      <c r="V182" s="109"/>
      <c r="W182" s="46"/>
      <c r="X182" s="5"/>
      <c r="Y182" s="110">
        <v>0.96</v>
      </c>
      <c r="Z182" s="110">
        <v>1.98</v>
      </c>
      <c r="AA182" s="118">
        <v>-1.06</v>
      </c>
      <c r="AB182" s="110" t="s">
        <v>161</v>
      </c>
      <c r="AC182" s="16">
        <v>11</v>
      </c>
      <c r="AD182" s="16">
        <v>0</v>
      </c>
      <c r="AE182" s="16"/>
      <c r="AF182" s="16">
        <v>0</v>
      </c>
      <c r="AG182" s="111">
        <v>0.22</v>
      </c>
      <c r="AH182" s="112" t="s">
        <v>76</v>
      </c>
      <c r="AI182" s="111"/>
      <c r="AJ182" s="5"/>
      <c r="AK182" s="16">
        <v>5</v>
      </c>
      <c r="AL182" s="16">
        <v>2</v>
      </c>
      <c r="AM182" s="16">
        <v>0</v>
      </c>
      <c r="AN182" s="16">
        <v>0</v>
      </c>
      <c r="AO182" s="16"/>
      <c r="AP182" s="16">
        <v>3</v>
      </c>
      <c r="AQ182" s="16"/>
      <c r="AR182" s="16">
        <v>2</v>
      </c>
      <c r="AS182" s="16">
        <v>1</v>
      </c>
      <c r="AT182" s="16">
        <v>1</v>
      </c>
      <c r="AU182" s="16">
        <v>0</v>
      </c>
      <c r="AV182" s="16">
        <v>0</v>
      </c>
      <c r="AW182" s="16">
        <v>1</v>
      </c>
      <c r="AX182" s="16">
        <v>1</v>
      </c>
      <c r="AY182" s="85">
        <f t="shared" si="48"/>
        <v>32</v>
      </c>
      <c r="AZ182" s="46">
        <f t="shared" si="34"/>
        <v>0.58181818181818179</v>
      </c>
      <c r="BA182" s="85" t="s">
        <v>180</v>
      </c>
      <c r="BB182" s="116"/>
      <c r="BC182" s="116"/>
      <c r="BD182" s="86" t="str">
        <f t="shared" si="49"/>
        <v>No</v>
      </c>
      <c r="BE182" s="76" t="str">
        <f t="shared" si="50"/>
        <v>BSWH Plano - Brain &amp; Spine Suite 800 Ren</v>
      </c>
      <c r="BF182" s="76" t="str">
        <f t="shared" si="51"/>
        <v xml:space="preserve">Nicki Hellem / </v>
      </c>
      <c r="BG182" s="76" t="str">
        <f t="shared" si="35"/>
        <v>need to contact</v>
      </c>
    </row>
    <row r="183" spans="1:137" ht="15.6" hidden="1" x14ac:dyDescent="0.6">
      <c r="A183" s="84"/>
      <c r="B183" s="84">
        <v>147838</v>
      </c>
      <c r="C183" s="84" t="s">
        <v>336</v>
      </c>
      <c r="D183" s="28" t="s">
        <v>76</v>
      </c>
      <c r="E183" s="72"/>
      <c r="F183" s="72"/>
      <c r="G183" s="72"/>
      <c r="H183" s="72" t="s">
        <v>330</v>
      </c>
      <c r="I183" s="71"/>
      <c r="J183" s="114"/>
      <c r="K183" s="114"/>
      <c r="L183" s="114"/>
      <c r="M183" s="47"/>
      <c r="N183" s="47"/>
      <c r="O183" s="16">
        <v>2</v>
      </c>
      <c r="P183" s="16">
        <v>2</v>
      </c>
      <c r="Q183" s="16">
        <v>1</v>
      </c>
      <c r="R183" s="16">
        <v>0</v>
      </c>
      <c r="S183" s="16"/>
      <c r="T183" s="109"/>
      <c r="U183" s="109"/>
      <c r="V183" s="109"/>
      <c r="W183" s="46"/>
      <c r="X183" s="5"/>
      <c r="Y183" s="110">
        <v>0.96</v>
      </c>
      <c r="Z183" s="110">
        <v>1.46</v>
      </c>
      <c r="AA183" s="118">
        <v>-0.52</v>
      </c>
      <c r="AB183" s="110" t="s">
        <v>85</v>
      </c>
      <c r="AC183" s="16">
        <v>11</v>
      </c>
      <c r="AD183" s="16">
        <v>0</v>
      </c>
      <c r="AE183" s="16"/>
      <c r="AF183" s="16">
        <v>1</v>
      </c>
      <c r="AG183" s="111">
        <v>0.22</v>
      </c>
      <c r="AH183" s="112" t="s">
        <v>76</v>
      </c>
      <c r="AI183" s="111"/>
      <c r="AJ183" s="5"/>
      <c r="AK183" s="16">
        <v>5</v>
      </c>
      <c r="AL183" s="16">
        <v>2</v>
      </c>
      <c r="AM183" s="16">
        <v>0</v>
      </c>
      <c r="AN183" s="16">
        <v>0</v>
      </c>
      <c r="AO183" s="16"/>
      <c r="AP183" s="16">
        <v>3</v>
      </c>
      <c r="AQ183" s="16"/>
      <c r="AR183" s="16">
        <v>2</v>
      </c>
      <c r="AS183" s="16">
        <v>1</v>
      </c>
      <c r="AT183" s="16">
        <v>1</v>
      </c>
      <c r="AU183" s="16">
        <v>0</v>
      </c>
      <c r="AV183" s="16">
        <v>0</v>
      </c>
      <c r="AW183" s="16">
        <v>1</v>
      </c>
      <c r="AX183" s="16">
        <v>1</v>
      </c>
      <c r="AY183" s="85">
        <f t="shared" si="48"/>
        <v>33</v>
      </c>
      <c r="AZ183" s="46">
        <f t="shared" si="34"/>
        <v>0.6</v>
      </c>
      <c r="BA183" s="85" t="s">
        <v>180</v>
      </c>
      <c r="BB183" s="116"/>
      <c r="BC183" s="116"/>
      <c r="BD183" s="86" t="str">
        <f t="shared" si="49"/>
        <v>No</v>
      </c>
      <c r="BE183" s="76" t="str">
        <f t="shared" si="50"/>
        <v>Baylor Cancer Center - Ceiling Finish Refr</v>
      </c>
      <c r="BF183" s="76" t="str">
        <f t="shared" si="51"/>
        <v xml:space="preserve">Nicki Hellem / </v>
      </c>
      <c r="BG183" s="76" t="str">
        <f t="shared" si="35"/>
        <v>need to contact</v>
      </c>
    </row>
    <row r="184" spans="1:137" ht="15.6" hidden="1" x14ac:dyDescent="0.6">
      <c r="A184" s="84"/>
      <c r="B184" s="84">
        <v>147706</v>
      </c>
      <c r="C184" s="84" t="s">
        <v>337</v>
      </c>
      <c r="D184" s="28" t="s">
        <v>76</v>
      </c>
      <c r="E184" s="72"/>
      <c r="F184" s="72"/>
      <c r="G184" s="72"/>
      <c r="H184" s="29" t="s">
        <v>260</v>
      </c>
      <c r="I184" s="71"/>
      <c r="J184" s="114"/>
      <c r="K184" s="114"/>
      <c r="L184" s="114"/>
      <c r="M184" s="47"/>
      <c r="N184" s="47"/>
      <c r="O184" s="16">
        <v>3</v>
      </c>
      <c r="P184" s="16">
        <v>1</v>
      </c>
      <c r="Q184" s="16">
        <v>1</v>
      </c>
      <c r="R184" s="16">
        <v>0</v>
      </c>
      <c r="S184" s="16"/>
      <c r="T184" s="109"/>
      <c r="U184" s="109"/>
      <c r="V184" s="109"/>
      <c r="W184" s="46"/>
      <c r="X184" s="5"/>
      <c r="Y184" s="110">
        <v>0.96</v>
      </c>
      <c r="Z184" s="110">
        <v>0.94</v>
      </c>
      <c r="AA184" s="118">
        <v>0.02</v>
      </c>
      <c r="AB184" s="110" t="s">
        <v>161</v>
      </c>
      <c r="AC184" s="16">
        <v>11</v>
      </c>
      <c r="AD184" s="16">
        <v>0</v>
      </c>
      <c r="AE184" s="16"/>
      <c r="AF184" s="16">
        <v>2</v>
      </c>
      <c r="AG184" s="111">
        <v>0.22</v>
      </c>
      <c r="AH184" s="112" t="s">
        <v>76</v>
      </c>
      <c r="AI184" s="111"/>
      <c r="AJ184" s="5"/>
      <c r="AK184" s="16">
        <v>5</v>
      </c>
      <c r="AL184" s="16">
        <v>2</v>
      </c>
      <c r="AM184" s="16">
        <v>0</v>
      </c>
      <c r="AN184" s="16">
        <v>0</v>
      </c>
      <c r="AO184" s="16"/>
      <c r="AP184" s="16">
        <v>3</v>
      </c>
      <c r="AQ184" s="16"/>
      <c r="AR184" s="16">
        <v>2</v>
      </c>
      <c r="AS184" s="16">
        <v>1</v>
      </c>
      <c r="AT184" s="16">
        <v>1</v>
      </c>
      <c r="AU184" s="16">
        <v>0</v>
      </c>
      <c r="AV184" s="16">
        <v>0</v>
      </c>
      <c r="AW184" s="16">
        <v>1</v>
      </c>
      <c r="AX184" s="16">
        <v>1</v>
      </c>
      <c r="AY184" s="85">
        <f t="shared" si="48"/>
        <v>34</v>
      </c>
      <c r="AZ184" s="46">
        <f t="shared" si="34"/>
        <v>0.61818181818181817</v>
      </c>
      <c r="BA184" s="85" t="s">
        <v>180</v>
      </c>
      <c r="BB184" s="116"/>
      <c r="BC184" s="116"/>
      <c r="BD184" s="86" t="str">
        <f t="shared" si="49"/>
        <v>No</v>
      </c>
      <c r="BE184" s="76" t="str">
        <f t="shared" si="50"/>
        <v>MRMC : 5th Floor Finish Out</v>
      </c>
      <c r="BF184" s="87" t="str">
        <f t="shared" si="51"/>
        <v>Mark Roan/Austin Madrigal</v>
      </c>
      <c r="BG184" s="87" t="str">
        <f t="shared" si="35"/>
        <v>need to contact</v>
      </c>
    </row>
    <row r="185" spans="1:137" ht="15.6" hidden="1" x14ac:dyDescent="0.6">
      <c r="A185" s="84"/>
      <c r="B185" s="84">
        <v>147873</v>
      </c>
      <c r="C185" s="84" t="s">
        <v>338</v>
      </c>
      <c r="D185" s="28" t="s">
        <v>76</v>
      </c>
      <c r="E185" s="1"/>
      <c r="F185" s="7" t="s">
        <v>339</v>
      </c>
      <c r="G185" s="113"/>
      <c r="H185" s="72" t="s">
        <v>340</v>
      </c>
      <c r="I185" s="71"/>
      <c r="J185" s="114"/>
      <c r="K185" s="114"/>
      <c r="L185" s="114"/>
      <c r="M185" s="47"/>
      <c r="N185" s="47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119"/>
      <c r="AN185" s="119"/>
      <c r="AO185" s="119"/>
      <c r="AP185" s="119"/>
      <c r="AQ185" s="119"/>
      <c r="AR185" s="119"/>
      <c r="AS185" s="119"/>
      <c r="AT185" s="119"/>
      <c r="AU185" s="119"/>
      <c r="AV185" s="119"/>
      <c r="AW185" s="119"/>
      <c r="AX185" s="119"/>
      <c r="AY185" s="7"/>
      <c r="AZ185" s="7"/>
      <c r="BA185" s="7"/>
      <c r="BB185" s="116"/>
      <c r="BC185" s="116"/>
    </row>
    <row r="186" spans="1:137" ht="15.6" hidden="1" x14ac:dyDescent="0.6">
      <c r="A186" s="84"/>
      <c r="B186" s="84">
        <v>147865</v>
      </c>
      <c r="C186" s="84" t="s">
        <v>341</v>
      </c>
      <c r="D186" s="28" t="s">
        <v>76</v>
      </c>
      <c r="E186" s="72"/>
      <c r="F186" s="71" t="s">
        <v>96</v>
      </c>
      <c r="G186" s="72"/>
      <c r="H186" s="29" t="s">
        <v>203</v>
      </c>
      <c r="I186" s="71"/>
      <c r="J186" s="114"/>
      <c r="K186" s="114"/>
      <c r="L186" s="114"/>
      <c r="M186" s="47"/>
      <c r="N186" s="47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G186" s="119"/>
      <c r="AH186" s="119"/>
      <c r="AI186" s="119"/>
      <c r="AJ186" s="119"/>
      <c r="AK186" s="119"/>
      <c r="AL186" s="119"/>
      <c r="AM186" s="119"/>
      <c r="AN186" s="119"/>
      <c r="AO186" s="119"/>
      <c r="AP186" s="119"/>
      <c r="AQ186" s="119"/>
      <c r="AR186" s="119"/>
      <c r="AS186" s="119"/>
      <c r="AT186" s="119"/>
      <c r="AU186" s="119"/>
      <c r="AV186" s="119"/>
      <c r="AW186" s="119"/>
      <c r="AX186" s="119"/>
      <c r="AY186" s="7"/>
      <c r="AZ186" s="7"/>
      <c r="BA186" s="7"/>
      <c r="BB186" s="116"/>
      <c r="BC186" s="116"/>
    </row>
    <row r="187" spans="1:137" ht="15.6" hidden="1" x14ac:dyDescent="0.6">
      <c r="A187" s="84"/>
      <c r="B187" s="84">
        <v>147856</v>
      </c>
      <c r="C187" s="84" t="s">
        <v>342</v>
      </c>
      <c r="D187" s="28" t="s">
        <v>76</v>
      </c>
      <c r="E187" s="1"/>
      <c r="F187" s="71" t="s">
        <v>96</v>
      </c>
      <c r="G187" s="113"/>
      <c r="H187" s="29" t="s">
        <v>203</v>
      </c>
      <c r="I187" s="71"/>
      <c r="J187" s="114"/>
      <c r="K187" s="114"/>
      <c r="L187" s="114"/>
      <c r="M187" s="47"/>
      <c r="N187" s="47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G187" s="119"/>
      <c r="AH187" s="119"/>
      <c r="AI187" s="119"/>
      <c r="AJ187" s="119"/>
      <c r="AK187" s="119"/>
      <c r="AL187" s="119"/>
      <c r="AM187" s="119"/>
      <c r="AN187" s="119"/>
      <c r="AO187" s="119"/>
      <c r="AP187" s="119"/>
      <c r="AQ187" s="119"/>
      <c r="AR187" s="119"/>
      <c r="AS187" s="119"/>
      <c r="AT187" s="119"/>
      <c r="AU187" s="119"/>
      <c r="AV187" s="119"/>
      <c r="AW187" s="119"/>
      <c r="AX187" s="119"/>
      <c r="AY187" s="7"/>
      <c r="AZ187" s="7"/>
      <c r="BA187" s="7"/>
      <c r="BB187" s="116"/>
      <c r="BC187" s="116"/>
    </row>
    <row r="188" spans="1:137" ht="15.6" hidden="1" x14ac:dyDescent="0.6">
      <c r="A188" s="84"/>
      <c r="B188" s="84">
        <v>147858</v>
      </c>
      <c r="C188" s="84" t="s">
        <v>343</v>
      </c>
      <c r="D188" s="28" t="s">
        <v>76</v>
      </c>
      <c r="E188" s="1"/>
      <c r="F188" s="7"/>
      <c r="G188" s="113"/>
      <c r="H188" s="72" t="s">
        <v>182</v>
      </c>
      <c r="I188" s="71"/>
      <c r="J188" s="114"/>
      <c r="K188" s="114"/>
      <c r="L188" s="114"/>
      <c r="M188" s="47"/>
      <c r="N188" s="47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G188" s="119"/>
      <c r="AH188" s="119"/>
      <c r="AI188" s="119"/>
      <c r="AJ188" s="119"/>
      <c r="AK188" s="119"/>
      <c r="AL188" s="119"/>
      <c r="AM188" s="119"/>
      <c r="AN188" s="119"/>
      <c r="AO188" s="119"/>
      <c r="AP188" s="119"/>
      <c r="AQ188" s="119"/>
      <c r="AR188" s="119"/>
      <c r="AS188" s="119"/>
      <c r="AT188" s="119"/>
      <c r="AU188" s="119"/>
      <c r="AV188" s="119"/>
      <c r="AW188" s="119"/>
      <c r="AX188" s="119"/>
      <c r="AY188" s="7"/>
      <c r="AZ188" s="7"/>
      <c r="BA188" s="7"/>
      <c r="BB188" s="116"/>
      <c r="BC188" s="116"/>
    </row>
    <row r="189" spans="1:137" s="103" customFormat="1" ht="80.099999999999994" customHeight="1" x14ac:dyDescent="0.6">
      <c r="B189" s="184" t="s">
        <v>344</v>
      </c>
      <c r="C189" s="184"/>
      <c r="D189" s="185"/>
      <c r="E189" s="185"/>
      <c r="F189" s="185"/>
      <c r="G189" s="185"/>
      <c r="H189" s="185"/>
      <c r="I189" s="185"/>
      <c r="J189" s="95"/>
      <c r="K189" s="96"/>
      <c r="L189" s="37"/>
      <c r="M189" s="38"/>
      <c r="N189" s="38"/>
      <c r="O189" s="98" t="s">
        <v>345</v>
      </c>
      <c r="P189" s="98" t="s">
        <v>345</v>
      </c>
      <c r="Q189" s="98" t="s">
        <v>346</v>
      </c>
      <c r="R189" s="98" t="s">
        <v>345</v>
      </c>
      <c r="S189" s="142" t="s">
        <v>347</v>
      </c>
      <c r="T189" s="39"/>
      <c r="U189" s="40"/>
      <c r="V189" s="173" t="s">
        <v>348</v>
      </c>
      <c r="W189" s="41"/>
      <c r="X189" s="98" t="s">
        <v>349</v>
      </c>
      <c r="Y189" s="96"/>
      <c r="Z189" s="96"/>
      <c r="AA189" s="96"/>
      <c r="AB189" s="98" t="s">
        <v>350</v>
      </c>
      <c r="AC189" s="98"/>
      <c r="AD189" s="142" t="s">
        <v>351</v>
      </c>
      <c r="AE189" s="142" t="s">
        <v>352</v>
      </c>
      <c r="AF189" s="37"/>
      <c r="AG189" s="41"/>
      <c r="AH189" s="98" t="s">
        <v>353</v>
      </c>
      <c r="AI189" s="42"/>
      <c r="AJ189" s="98" t="s">
        <v>354</v>
      </c>
      <c r="AK189" s="98"/>
      <c r="AL189" s="37"/>
      <c r="AM189" s="142" t="s">
        <v>355</v>
      </c>
      <c r="AN189" s="37"/>
      <c r="AO189" s="37"/>
      <c r="AP189" s="170"/>
      <c r="AQ189" s="42"/>
      <c r="AR189" s="37"/>
      <c r="AS189" s="37"/>
      <c r="AT189" s="97"/>
      <c r="AU189" s="97"/>
      <c r="AV189" s="97"/>
      <c r="AW189" s="97"/>
      <c r="AX189" s="142" t="s">
        <v>356</v>
      </c>
      <c r="AY189" s="99"/>
      <c r="AZ189" s="99"/>
      <c r="BA189" s="99"/>
      <c r="BB189" s="43"/>
      <c r="BC189" s="33"/>
      <c r="BD189" s="76"/>
      <c r="BE189" s="76"/>
      <c r="BF189" s="76"/>
      <c r="BG189" s="76"/>
      <c r="BH189" s="76"/>
      <c r="BI189" s="76"/>
      <c r="BJ189" s="76"/>
      <c r="BK189" s="76"/>
      <c r="BL189" s="76"/>
      <c r="BM189" s="76"/>
      <c r="BN189" s="76"/>
      <c r="BO189" s="76"/>
      <c r="BP189" s="76"/>
      <c r="BQ189" s="76"/>
      <c r="BR189" s="76"/>
      <c r="BS189" s="76"/>
      <c r="BT189" s="76"/>
      <c r="BU189" s="76"/>
      <c r="BV189" s="76"/>
      <c r="BW189" s="76"/>
      <c r="BX189" s="76"/>
      <c r="BY189" s="76"/>
      <c r="BZ189" s="76"/>
      <c r="CA189" s="76"/>
      <c r="CB189" s="76"/>
      <c r="CC189" s="76"/>
      <c r="CD189" s="76"/>
      <c r="CE189" s="76"/>
      <c r="CF189" s="76"/>
      <c r="CG189" s="76"/>
      <c r="CH189" s="76"/>
      <c r="CI189" s="76"/>
      <c r="CJ189" s="76"/>
      <c r="CK189" s="76"/>
      <c r="CL189" s="76"/>
      <c r="CM189" s="76"/>
      <c r="CN189" s="76"/>
      <c r="CO189" s="76"/>
      <c r="CP189" s="76"/>
      <c r="CQ189" s="76"/>
      <c r="CR189" s="76"/>
      <c r="CS189" s="76"/>
      <c r="CT189" s="76"/>
      <c r="CU189" s="76"/>
      <c r="CV189" s="76"/>
      <c r="CW189" s="76"/>
      <c r="CX189" s="76"/>
      <c r="CY189" s="76"/>
      <c r="CZ189" s="76"/>
      <c r="DA189" s="76"/>
      <c r="DB189" s="76"/>
      <c r="DC189" s="76"/>
      <c r="DD189" s="76"/>
      <c r="DE189" s="76"/>
      <c r="DF189" s="76"/>
      <c r="DG189" s="76"/>
      <c r="DH189" s="76"/>
      <c r="DI189" s="76"/>
      <c r="DJ189" s="76"/>
      <c r="DK189" s="76"/>
      <c r="DL189" s="76"/>
      <c r="DM189" s="76"/>
      <c r="DN189" s="76"/>
      <c r="DO189" s="76"/>
      <c r="DP189" s="76"/>
      <c r="DQ189" s="76"/>
      <c r="DR189" s="76"/>
      <c r="DS189" s="76"/>
      <c r="DT189" s="76"/>
      <c r="DU189" s="76"/>
      <c r="DV189" s="76"/>
      <c r="DW189" s="76"/>
      <c r="DX189" s="76"/>
      <c r="DY189" s="76"/>
      <c r="DZ189" s="76"/>
      <c r="EA189" s="76"/>
      <c r="EB189" s="76"/>
      <c r="EC189" s="76"/>
      <c r="ED189" s="76"/>
      <c r="EE189" s="76"/>
      <c r="EF189" s="76"/>
      <c r="EG189" s="76"/>
    </row>
    <row r="190" spans="1:137" ht="15.6" x14ac:dyDescent="0.6">
      <c r="X190" s="7"/>
      <c r="AB190" s="7"/>
      <c r="AC190" s="7"/>
      <c r="BB190" s="13"/>
      <c r="BC190" s="13"/>
    </row>
    <row r="191" spans="1:137" s="81" customFormat="1" ht="15.6" x14ac:dyDescent="0.6">
      <c r="B191" s="183" t="s">
        <v>357</v>
      </c>
      <c r="C191" s="183"/>
      <c r="D191" s="8"/>
      <c r="E191" s="8"/>
      <c r="F191" s="8"/>
      <c r="G191" s="8"/>
      <c r="H191" s="32"/>
      <c r="I191" s="9"/>
      <c r="J191" s="9"/>
      <c r="K191" s="9"/>
      <c r="L191" s="9"/>
      <c r="M191" s="9"/>
      <c r="N191" s="9"/>
      <c r="O191" s="10"/>
      <c r="P191" s="8"/>
      <c r="Q191" s="10"/>
      <c r="R191" s="8"/>
      <c r="S191" s="8"/>
      <c r="T191" s="22"/>
      <c r="U191" s="22"/>
      <c r="V191" s="22"/>
      <c r="W191" s="8"/>
      <c r="X191" s="8"/>
      <c r="Y191" s="22"/>
      <c r="Z191" s="22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10"/>
      <c r="AS191" s="10"/>
      <c r="AT191" s="10"/>
      <c r="AU191" s="10"/>
      <c r="AV191" s="10"/>
      <c r="AW191" s="10"/>
      <c r="AX191" s="8"/>
      <c r="AY191" s="11"/>
      <c r="AZ191" s="11"/>
      <c r="BA191" s="11"/>
      <c r="BB191" s="14"/>
      <c r="BC191" s="14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</row>
    <row r="192" spans="1:137" ht="15.6" x14ac:dyDescent="0.6">
      <c r="A192" s="60">
        <v>1</v>
      </c>
      <c r="B192" s="88">
        <v>147733</v>
      </c>
      <c r="C192" s="108" t="s">
        <v>358</v>
      </c>
      <c r="D192" s="1" t="s">
        <v>316</v>
      </c>
      <c r="E192" s="1" t="s">
        <v>316</v>
      </c>
      <c r="F192" s="16" t="s">
        <v>93</v>
      </c>
      <c r="G192" s="113" t="s">
        <v>317</v>
      </c>
      <c r="H192" s="72" t="s">
        <v>359</v>
      </c>
      <c r="I192" s="7" t="s">
        <v>140</v>
      </c>
      <c r="J192" s="114"/>
      <c r="K192" s="94"/>
      <c r="L192" s="28" t="s">
        <v>76</v>
      </c>
      <c r="M192" s="15">
        <v>0.6</v>
      </c>
      <c r="N192" s="44">
        <v>0.92</v>
      </c>
      <c r="O192" s="16">
        <v>4</v>
      </c>
      <c r="P192" s="16">
        <v>4</v>
      </c>
      <c r="Q192" s="16">
        <v>4</v>
      </c>
      <c r="R192" s="16">
        <v>1</v>
      </c>
      <c r="S192" s="1" t="s">
        <v>85</v>
      </c>
      <c r="T192" s="2">
        <v>221.8</v>
      </c>
      <c r="U192" s="2">
        <v>172.3</v>
      </c>
      <c r="V192" s="71">
        <v>2</v>
      </c>
      <c r="W192" s="46">
        <f>(T192-U192)/T192</f>
        <v>0.22317403065825067</v>
      </c>
      <c r="X192" s="16" t="s">
        <v>76</v>
      </c>
      <c r="Y192" s="16" t="s">
        <v>88</v>
      </c>
      <c r="Z192" s="16" t="s">
        <v>88</v>
      </c>
      <c r="AA192" s="16" t="s">
        <v>88</v>
      </c>
      <c r="AB192" s="16" t="s">
        <v>88</v>
      </c>
      <c r="AC192" s="16">
        <v>22</v>
      </c>
      <c r="AD192" s="16">
        <v>1</v>
      </c>
      <c r="AE192" s="16" t="s">
        <v>542</v>
      </c>
      <c r="AF192" s="1" t="s">
        <v>85</v>
      </c>
      <c r="AG192" s="166">
        <v>0.35</v>
      </c>
      <c r="AH192" s="1" t="s">
        <v>85</v>
      </c>
      <c r="AI192" s="6">
        <v>0.66</v>
      </c>
      <c r="AJ192" s="1" t="s">
        <v>85</v>
      </c>
      <c r="AK192" s="16">
        <v>7</v>
      </c>
      <c r="AL192" s="16">
        <v>2</v>
      </c>
      <c r="AM192" s="16">
        <v>3</v>
      </c>
      <c r="AN192" s="16">
        <v>1</v>
      </c>
      <c r="AO192" s="16" t="s">
        <v>85</v>
      </c>
      <c r="AP192" s="16">
        <v>3</v>
      </c>
      <c r="AQ192" s="16">
        <v>1</v>
      </c>
      <c r="AR192" s="16">
        <v>2</v>
      </c>
      <c r="AS192" s="16">
        <v>1</v>
      </c>
      <c r="AT192" s="16">
        <v>1</v>
      </c>
      <c r="AU192" s="16">
        <v>1</v>
      </c>
      <c r="AV192" s="16">
        <v>1</v>
      </c>
      <c r="AW192" s="16">
        <v>1</v>
      </c>
      <c r="AX192" s="16">
        <v>1</v>
      </c>
      <c r="AY192" s="85" t="e">
        <f>O192+P192+Q192+R192+AC192+AD192+AF192+AK192+AL192+AM192+AN192+AP192+AR192+AS192+AT192+AU192+AV192+AW192+AX192</f>
        <v>#VALUE!</v>
      </c>
      <c r="AZ192" s="46" t="e">
        <f t="shared" ref="AZ192:AZ193" si="52">AY192/55</f>
        <v>#VALUE!</v>
      </c>
      <c r="BA192" s="85" t="s">
        <v>89</v>
      </c>
      <c r="BB192" s="116"/>
      <c r="BC192" s="116"/>
      <c r="BD192" s="86" t="str">
        <f t="shared" ref="BD192:BD237" si="53">IF(N192&gt;60%,"YES","No")</f>
        <v>YES</v>
      </c>
      <c r="BE192" s="76" t="str">
        <f>C192</f>
        <v xml:space="preserve">HCA Good Sam Replacement Hosp </v>
      </c>
      <c r="BF192" s="87" t="str">
        <f>H192</f>
        <v>Vu / Omar / ERIC D. (SPM)</v>
      </c>
      <c r="BG192" s="87" t="e">
        <f t="shared" ref="BG192:BG197" si="54">IF(AZ192&gt;65%,"No need to contact","need to contact")</f>
        <v>#VALUE!</v>
      </c>
    </row>
    <row r="193" spans="1:59" ht="15.6" x14ac:dyDescent="0.6">
      <c r="A193" s="60"/>
      <c r="B193" s="88">
        <v>147733.1</v>
      </c>
      <c r="C193" s="108" t="s">
        <v>360</v>
      </c>
      <c r="D193" s="1" t="s">
        <v>76</v>
      </c>
      <c r="E193" s="1"/>
      <c r="F193" s="16" t="s">
        <v>93</v>
      </c>
      <c r="G193" s="113" t="s">
        <v>317</v>
      </c>
      <c r="H193" s="72" t="s">
        <v>361</v>
      </c>
      <c r="I193" s="71" t="s">
        <v>140</v>
      </c>
      <c r="J193" s="114"/>
      <c r="K193" s="94"/>
      <c r="L193" s="28" t="s">
        <v>76</v>
      </c>
      <c r="M193" s="15">
        <v>0.55000000000000004</v>
      </c>
      <c r="N193" s="44">
        <v>0.84</v>
      </c>
      <c r="O193" s="16">
        <v>4</v>
      </c>
      <c r="P193" s="16">
        <v>4</v>
      </c>
      <c r="Q193" s="16">
        <v>3</v>
      </c>
      <c r="R193" s="16">
        <v>1</v>
      </c>
      <c r="S193" s="16" t="s">
        <v>143</v>
      </c>
      <c r="T193" s="16">
        <v>221.8</v>
      </c>
      <c r="U193" s="16">
        <v>172.3</v>
      </c>
      <c r="V193" s="71"/>
      <c r="W193" s="46">
        <f>(T193-U193)/T193</f>
        <v>0.22317403065825067</v>
      </c>
      <c r="X193" s="16" t="s">
        <v>76</v>
      </c>
      <c r="Y193" s="16" t="s">
        <v>88</v>
      </c>
      <c r="Z193" s="16" t="s">
        <v>88</v>
      </c>
      <c r="AA193" s="16" t="s">
        <v>88</v>
      </c>
      <c r="AB193" s="16" t="s">
        <v>88</v>
      </c>
      <c r="AC193" s="16">
        <v>22</v>
      </c>
      <c r="AD193" s="16">
        <v>1</v>
      </c>
      <c r="AE193" s="16" t="s">
        <v>542</v>
      </c>
      <c r="AF193" s="16" t="s">
        <v>85</v>
      </c>
      <c r="AG193" s="46">
        <v>0.35</v>
      </c>
      <c r="AH193" s="16" t="s">
        <v>76</v>
      </c>
      <c r="AI193" s="47">
        <v>0.66</v>
      </c>
      <c r="AJ193" s="16" t="s">
        <v>85</v>
      </c>
      <c r="AK193" s="16">
        <v>7</v>
      </c>
      <c r="AL193" s="16">
        <v>2</v>
      </c>
      <c r="AM193" s="16">
        <v>3</v>
      </c>
      <c r="AN193" s="16">
        <v>1</v>
      </c>
      <c r="AO193" s="16" t="s">
        <v>85</v>
      </c>
      <c r="AP193" s="16">
        <v>3</v>
      </c>
      <c r="AQ193" s="16">
        <v>1</v>
      </c>
      <c r="AR193" s="16">
        <v>1</v>
      </c>
      <c r="AS193" s="16">
        <v>1</v>
      </c>
      <c r="AT193" s="16">
        <v>1</v>
      </c>
      <c r="AU193" s="16">
        <v>1</v>
      </c>
      <c r="AV193" s="16">
        <v>1</v>
      </c>
      <c r="AW193" s="16">
        <v>1</v>
      </c>
      <c r="AX193" s="16">
        <v>1</v>
      </c>
      <c r="AY193" s="85" t="e">
        <f>O193+P193+Q193+R193+AC193+AD193+AF193+AK193+AL193+AM193+AN193+AP193+AR193+AS193+AT193+AU193+AV193+AW193+AX193</f>
        <v>#VALUE!</v>
      </c>
      <c r="AZ193" s="46" t="e">
        <f t="shared" si="52"/>
        <v>#VALUE!</v>
      </c>
      <c r="BA193" s="85" t="s">
        <v>89</v>
      </c>
      <c r="BB193" s="116"/>
      <c r="BC193" s="116"/>
      <c r="BD193" s="86" t="str">
        <f t="shared" si="53"/>
        <v>YES</v>
      </c>
      <c r="BE193" s="76" t="str">
        <f>C193</f>
        <v>HCA Good Sam Powerhouse (this is the same as above)</v>
      </c>
      <c r="BF193" s="87" t="str">
        <f>H193</f>
        <v>Vu / Lawrence</v>
      </c>
      <c r="BG193" s="87" t="e">
        <f t="shared" si="54"/>
        <v>#VALUE!</v>
      </c>
    </row>
    <row r="194" spans="1:59" ht="15.6" x14ac:dyDescent="0.6">
      <c r="A194" s="84">
        <v>2</v>
      </c>
      <c r="B194" s="89">
        <v>147808</v>
      </c>
      <c r="C194" s="90" t="s">
        <v>362</v>
      </c>
      <c r="D194" s="1" t="s">
        <v>85</v>
      </c>
      <c r="E194" s="1"/>
      <c r="F194" s="16" t="s">
        <v>93</v>
      </c>
      <c r="G194" s="113" t="s">
        <v>317</v>
      </c>
      <c r="H194" s="72" t="s">
        <v>363</v>
      </c>
      <c r="I194" s="71" t="s">
        <v>140</v>
      </c>
      <c r="J194" s="114"/>
      <c r="K194" s="114"/>
      <c r="L194" s="114"/>
      <c r="M194" s="44">
        <v>0</v>
      </c>
      <c r="N194" s="44">
        <v>0.81</v>
      </c>
      <c r="O194" s="16">
        <v>3</v>
      </c>
      <c r="P194" s="16">
        <v>0</v>
      </c>
      <c r="Q194" s="16">
        <v>0</v>
      </c>
      <c r="R194" s="16">
        <v>0</v>
      </c>
      <c r="S194" s="1" t="s">
        <v>85</v>
      </c>
      <c r="T194" s="109">
        <v>251</v>
      </c>
      <c r="U194" s="121">
        <v>193</v>
      </c>
      <c r="V194" s="71">
        <v>1</v>
      </c>
      <c r="W194" s="46">
        <v>0.23</v>
      </c>
      <c r="X194" s="16" t="s">
        <v>76</v>
      </c>
      <c r="Y194" s="110" t="s">
        <v>88</v>
      </c>
      <c r="Z194" s="110" t="s">
        <v>88</v>
      </c>
      <c r="AA194" s="110" t="s">
        <v>88</v>
      </c>
      <c r="AB194" s="110" t="s">
        <v>88</v>
      </c>
      <c r="AC194" s="16">
        <v>22</v>
      </c>
      <c r="AD194" s="16">
        <v>1</v>
      </c>
      <c r="AE194" s="16" t="s">
        <v>540</v>
      </c>
      <c r="AF194" s="16" t="s">
        <v>76</v>
      </c>
      <c r="AG194" s="47" t="s">
        <v>76</v>
      </c>
      <c r="AH194" s="165" t="s">
        <v>76</v>
      </c>
      <c r="AI194" s="47" t="s">
        <v>76</v>
      </c>
      <c r="AJ194" s="16" t="s">
        <v>76</v>
      </c>
      <c r="AK194" s="16">
        <v>4</v>
      </c>
      <c r="AL194" s="16">
        <v>2</v>
      </c>
      <c r="AM194" s="16">
        <v>2</v>
      </c>
      <c r="AN194" s="16">
        <v>1</v>
      </c>
      <c r="AO194" s="16" t="s">
        <v>76</v>
      </c>
      <c r="AP194" s="16">
        <v>3</v>
      </c>
      <c r="AQ194" s="16">
        <v>1</v>
      </c>
      <c r="AR194" s="16">
        <v>1</v>
      </c>
      <c r="AS194" s="16">
        <v>1</v>
      </c>
      <c r="AT194" s="16">
        <v>1</v>
      </c>
      <c r="AU194" s="16">
        <v>1</v>
      </c>
      <c r="AV194" s="16">
        <v>0</v>
      </c>
      <c r="AW194" s="16">
        <v>0</v>
      </c>
      <c r="AX194" s="16">
        <v>0</v>
      </c>
      <c r="AY194" s="85" t="e">
        <f>O194+P194+Q194+R194+AC194+AD194+AF194+AK194+AL194+AM194+AN194+AP194+AR194+AS194+AT194+AU194+AV194+AW194+AX194</f>
        <v>#VALUE!</v>
      </c>
      <c r="AZ194" s="46" t="e">
        <f t="shared" ref="AZ194:AZ196" si="55">AY194/67</f>
        <v>#VALUE!</v>
      </c>
      <c r="BA194" s="85" t="s">
        <v>89</v>
      </c>
      <c r="BB194" s="116"/>
      <c r="BC194" s="116"/>
      <c r="BD194" s="86" t="str">
        <f t="shared" si="53"/>
        <v>YES</v>
      </c>
      <c r="BE194" s="76" t="str">
        <f>C194</f>
        <v>HCA South Strand Medical Center - This is the last year</v>
      </c>
      <c r="BF194" s="87" t="str">
        <f>H194</f>
        <v>Matt Enslin</v>
      </c>
      <c r="BG194" s="87" t="e">
        <f t="shared" si="54"/>
        <v>#VALUE!</v>
      </c>
    </row>
    <row r="195" spans="1:59" ht="15.6" x14ac:dyDescent="0.6">
      <c r="A195" s="84">
        <v>3</v>
      </c>
      <c r="B195" s="89">
        <v>147935</v>
      </c>
      <c r="C195" s="123" t="s">
        <v>523</v>
      </c>
      <c r="D195" s="1" t="s">
        <v>316</v>
      </c>
      <c r="E195" s="1"/>
      <c r="F195" s="16" t="s">
        <v>80</v>
      </c>
      <c r="G195" s="113" t="s">
        <v>317</v>
      </c>
      <c r="H195" s="72" t="s">
        <v>522</v>
      </c>
      <c r="I195" s="71"/>
      <c r="J195" s="114"/>
      <c r="K195" s="114"/>
      <c r="L195" s="114"/>
      <c r="M195" s="44"/>
      <c r="N195" s="44">
        <v>0.32</v>
      </c>
      <c r="O195" s="16">
        <v>4</v>
      </c>
      <c r="P195" s="16">
        <v>2</v>
      </c>
      <c r="Q195" s="16">
        <v>0</v>
      </c>
      <c r="R195" s="16">
        <v>0</v>
      </c>
      <c r="S195" s="16" t="s">
        <v>114</v>
      </c>
      <c r="T195" s="16" t="s">
        <v>114</v>
      </c>
      <c r="U195" s="16" t="s">
        <v>114</v>
      </c>
      <c r="V195" s="16" t="s">
        <v>114</v>
      </c>
      <c r="W195" s="16" t="s">
        <v>114</v>
      </c>
      <c r="X195" s="16" t="s">
        <v>114</v>
      </c>
      <c r="Y195" s="16" t="s">
        <v>114</v>
      </c>
      <c r="Z195" s="16" t="s">
        <v>114</v>
      </c>
      <c r="AA195" s="16" t="s">
        <v>114</v>
      </c>
      <c r="AB195" s="16" t="s">
        <v>114</v>
      </c>
      <c r="AC195" s="16">
        <v>0</v>
      </c>
      <c r="AD195" s="16">
        <v>0</v>
      </c>
      <c r="AE195" s="16" t="s">
        <v>540</v>
      </c>
      <c r="AF195" s="16" t="s">
        <v>76</v>
      </c>
      <c r="AG195" s="16" t="s">
        <v>114</v>
      </c>
      <c r="AH195" s="16" t="s">
        <v>114</v>
      </c>
      <c r="AI195" s="16" t="s">
        <v>114</v>
      </c>
      <c r="AJ195" s="16" t="s">
        <v>114</v>
      </c>
      <c r="AK195" s="16">
        <v>0</v>
      </c>
      <c r="AL195" s="16">
        <v>0</v>
      </c>
      <c r="AM195" s="16">
        <v>0</v>
      </c>
      <c r="AN195" s="16">
        <v>1</v>
      </c>
      <c r="AO195" s="16" t="s">
        <v>76</v>
      </c>
      <c r="AP195" s="16">
        <v>0</v>
      </c>
      <c r="AQ195" s="16">
        <v>0</v>
      </c>
      <c r="AR195" s="16">
        <v>1</v>
      </c>
      <c r="AS195" s="16">
        <v>0</v>
      </c>
      <c r="AT195" s="16">
        <v>0</v>
      </c>
      <c r="AU195" s="16">
        <v>0</v>
      </c>
      <c r="AV195" s="16">
        <v>0</v>
      </c>
      <c r="AW195" s="16">
        <v>0</v>
      </c>
      <c r="AX195" s="16">
        <v>0</v>
      </c>
      <c r="AY195" s="85"/>
      <c r="AZ195" s="46"/>
      <c r="BA195" s="85"/>
      <c r="BB195" s="116"/>
      <c r="BC195" s="116"/>
      <c r="BD195" s="86"/>
      <c r="BF195" s="87"/>
      <c r="BG195" s="87"/>
    </row>
    <row r="196" spans="1:59" ht="15.6" x14ac:dyDescent="0.6">
      <c r="A196" s="84">
        <v>4</v>
      </c>
      <c r="B196" s="89">
        <v>147811</v>
      </c>
      <c r="C196" s="90" t="s">
        <v>364</v>
      </c>
      <c r="D196" s="1" t="s">
        <v>316</v>
      </c>
      <c r="E196" s="1"/>
      <c r="F196" s="7" t="s">
        <v>365</v>
      </c>
      <c r="G196" s="113" t="s">
        <v>317</v>
      </c>
      <c r="H196" s="72" t="s">
        <v>366</v>
      </c>
      <c r="I196" s="71" t="s">
        <v>140</v>
      </c>
      <c r="J196" s="114"/>
      <c r="K196" s="114"/>
      <c r="L196" s="114"/>
      <c r="M196" s="47">
        <v>0</v>
      </c>
      <c r="N196" s="44">
        <v>0.97</v>
      </c>
      <c r="O196" s="16">
        <v>4</v>
      </c>
      <c r="P196" s="16">
        <v>3</v>
      </c>
      <c r="Q196" s="16">
        <v>4</v>
      </c>
      <c r="R196" s="16">
        <v>6</v>
      </c>
      <c r="S196" s="16" t="s">
        <v>76</v>
      </c>
      <c r="T196" s="109">
        <v>323</v>
      </c>
      <c r="U196" s="121">
        <v>222.87</v>
      </c>
      <c r="V196" s="71">
        <v>1</v>
      </c>
      <c r="W196" s="46">
        <f>(T196-U196)/T196</f>
        <v>0.31</v>
      </c>
      <c r="X196" s="16" t="s">
        <v>76</v>
      </c>
      <c r="Y196" s="110" t="s">
        <v>88</v>
      </c>
      <c r="Z196" s="110" t="s">
        <v>88</v>
      </c>
      <c r="AA196" s="110" t="s">
        <v>88</v>
      </c>
      <c r="AB196" s="110" t="s">
        <v>88</v>
      </c>
      <c r="AC196" s="16">
        <v>3</v>
      </c>
      <c r="AD196" s="16">
        <v>0</v>
      </c>
      <c r="AE196" s="16" t="s">
        <v>540</v>
      </c>
      <c r="AF196" s="16" t="s">
        <v>76</v>
      </c>
      <c r="AG196" s="111">
        <v>0.35</v>
      </c>
      <c r="AH196" s="1" t="s">
        <v>85</v>
      </c>
      <c r="AI196" s="16" t="s">
        <v>114</v>
      </c>
      <c r="AJ196" s="16" t="s">
        <v>114</v>
      </c>
      <c r="AK196" s="16">
        <v>7</v>
      </c>
      <c r="AL196" s="16">
        <v>2</v>
      </c>
      <c r="AM196" s="16">
        <v>3</v>
      </c>
      <c r="AN196" s="16">
        <v>1</v>
      </c>
      <c r="AO196" s="16" t="s">
        <v>76</v>
      </c>
      <c r="AP196" s="16">
        <v>3</v>
      </c>
      <c r="AQ196" s="16">
        <v>1</v>
      </c>
      <c r="AR196" s="16">
        <v>1</v>
      </c>
      <c r="AS196" s="16">
        <v>1</v>
      </c>
      <c r="AT196" s="16">
        <v>1</v>
      </c>
      <c r="AU196" s="16">
        <v>1</v>
      </c>
      <c r="AV196" s="16">
        <v>1</v>
      </c>
      <c r="AW196" s="16">
        <v>1</v>
      </c>
      <c r="AX196" s="16">
        <v>1</v>
      </c>
      <c r="AY196" s="85" t="e">
        <f>O196+P196+Q196+R196+AC196+AD196+AF196+AK196+AL196+AM196+AN196+AP196+AR196+AS196+AT196+AU196+AV196+AW196+AX196</f>
        <v>#VALUE!</v>
      </c>
      <c r="AZ196" s="46" t="e">
        <f t="shared" si="55"/>
        <v>#VALUE!</v>
      </c>
      <c r="BA196" s="85" t="s">
        <v>89</v>
      </c>
      <c r="BB196" s="116"/>
      <c r="BC196" s="116"/>
      <c r="BD196" s="86" t="str">
        <f t="shared" si="53"/>
        <v>YES</v>
      </c>
      <c r="BE196" s="76" t="str">
        <f>C196</f>
        <v>Encompass Health Charleston (MUSC) - This is the last report</v>
      </c>
      <c r="BF196" s="87" t="str">
        <f>H196</f>
        <v>Tabita Daolio</v>
      </c>
      <c r="BG196" s="87" t="e">
        <f t="shared" si="54"/>
        <v>#VALUE!</v>
      </c>
    </row>
    <row r="197" spans="1:59" ht="15.6" x14ac:dyDescent="0.6">
      <c r="A197" s="84">
        <v>5</v>
      </c>
      <c r="B197" s="89">
        <v>147817</v>
      </c>
      <c r="C197" s="89" t="s">
        <v>367</v>
      </c>
      <c r="D197" s="1" t="s">
        <v>316</v>
      </c>
      <c r="E197" s="72" t="s">
        <v>231</v>
      </c>
      <c r="F197" s="71" t="s">
        <v>80</v>
      </c>
      <c r="G197" s="72"/>
      <c r="H197" s="72" t="s">
        <v>368</v>
      </c>
      <c r="I197" s="71"/>
      <c r="J197" s="114"/>
      <c r="K197" s="114"/>
      <c r="L197" s="114"/>
      <c r="M197" s="47"/>
      <c r="N197" s="44">
        <v>0.76</v>
      </c>
      <c r="O197" s="16">
        <v>4</v>
      </c>
      <c r="P197" s="16">
        <v>1</v>
      </c>
      <c r="Q197" s="16">
        <v>3</v>
      </c>
      <c r="R197" s="16">
        <v>0</v>
      </c>
      <c r="S197" s="1" t="s">
        <v>85</v>
      </c>
      <c r="T197" s="109">
        <v>106</v>
      </c>
      <c r="U197" s="121">
        <v>79.150000000000006</v>
      </c>
      <c r="V197" s="71">
        <v>1</v>
      </c>
      <c r="W197" s="46">
        <f t="shared" ref="W197" si="56">(T197-U197)/T197</f>
        <v>0.2533018867924528</v>
      </c>
      <c r="X197" s="16" t="s">
        <v>76</v>
      </c>
      <c r="Y197" s="110" t="s">
        <v>88</v>
      </c>
      <c r="Z197" s="110" t="s">
        <v>88</v>
      </c>
      <c r="AA197" s="110" t="s">
        <v>88</v>
      </c>
      <c r="AB197" s="110" t="s">
        <v>88</v>
      </c>
      <c r="AC197" s="16">
        <v>22</v>
      </c>
      <c r="AD197" s="16">
        <v>1</v>
      </c>
      <c r="AE197" s="16" t="s">
        <v>539</v>
      </c>
      <c r="AF197" s="16" t="s">
        <v>76</v>
      </c>
      <c r="AG197" s="47" t="s">
        <v>76</v>
      </c>
      <c r="AH197" s="165" t="s">
        <v>76</v>
      </c>
      <c r="AI197" s="47" t="s">
        <v>76</v>
      </c>
      <c r="AJ197" s="16" t="s">
        <v>76</v>
      </c>
      <c r="AK197" s="16">
        <v>4</v>
      </c>
      <c r="AL197" s="16">
        <v>2</v>
      </c>
      <c r="AM197" s="16">
        <v>2</v>
      </c>
      <c r="AN197" s="16">
        <v>1</v>
      </c>
      <c r="AO197" s="16" t="s">
        <v>76</v>
      </c>
      <c r="AP197" s="16">
        <v>3</v>
      </c>
      <c r="AQ197" s="16">
        <v>1</v>
      </c>
      <c r="AR197" s="16">
        <v>2</v>
      </c>
      <c r="AS197" s="16">
        <v>1</v>
      </c>
      <c r="AT197" s="16">
        <v>1</v>
      </c>
      <c r="AU197" s="16">
        <v>0</v>
      </c>
      <c r="AV197" s="16">
        <v>1</v>
      </c>
      <c r="AW197" s="16">
        <v>1</v>
      </c>
      <c r="AX197" s="16">
        <v>1</v>
      </c>
      <c r="AY197" s="85" t="e">
        <f>O197+P197+Q197+R197+AC197+AD197+AF197+AK197+AL197+AM197+AN197+AP197+AR197+AS197+AT197+AU197+AV197+AW197+AX197</f>
        <v>#VALUE!</v>
      </c>
      <c r="AZ197" s="46" t="e">
        <f t="shared" ref="AZ197" si="57">AY197/67</f>
        <v>#VALUE!</v>
      </c>
      <c r="BA197" s="85" t="s">
        <v>89</v>
      </c>
      <c r="BB197" s="116"/>
      <c r="BC197" s="116"/>
      <c r="BD197" s="86" t="str">
        <f t="shared" si="53"/>
        <v>YES</v>
      </c>
      <c r="BE197" s="76" t="str">
        <f>C197</f>
        <v>HCA-Kyle FSER - This is the last year</v>
      </c>
      <c r="BF197" s="87" t="str">
        <f>H197</f>
        <v>Devin Weaver</v>
      </c>
      <c r="BG197" s="87" t="e">
        <f t="shared" si="54"/>
        <v>#VALUE!</v>
      </c>
    </row>
    <row r="198" spans="1:59" ht="15.6" x14ac:dyDescent="0.6">
      <c r="A198" s="84">
        <v>6</v>
      </c>
      <c r="B198" s="89">
        <v>147877</v>
      </c>
      <c r="C198" s="89" t="s">
        <v>369</v>
      </c>
      <c r="D198" s="1" t="s">
        <v>316</v>
      </c>
      <c r="E198" s="72"/>
      <c r="F198" s="71" t="s">
        <v>365</v>
      </c>
      <c r="G198" s="72"/>
      <c r="H198" s="72" t="s">
        <v>370</v>
      </c>
      <c r="I198" s="71"/>
      <c r="J198" s="114"/>
      <c r="K198" s="114"/>
      <c r="L198" s="114"/>
      <c r="M198" s="47"/>
      <c r="N198" s="53">
        <v>0</v>
      </c>
      <c r="O198" s="16"/>
      <c r="P198" s="16"/>
      <c r="Q198" s="16"/>
      <c r="R198" s="16"/>
      <c r="S198" s="16"/>
      <c r="T198" s="16"/>
      <c r="U198" s="16"/>
      <c r="V198" s="71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7"/>
      <c r="AZ198" s="7"/>
      <c r="BA198" s="7"/>
      <c r="BB198" s="116"/>
      <c r="BC198" s="116"/>
      <c r="BD198" s="86" t="str">
        <f t="shared" si="53"/>
        <v>No</v>
      </c>
    </row>
    <row r="199" spans="1:59" ht="14.5" customHeight="1" x14ac:dyDescent="0.6">
      <c r="A199" s="84">
        <v>7</v>
      </c>
      <c r="B199" s="89">
        <v>147843</v>
      </c>
      <c r="C199" s="89" t="s">
        <v>371</v>
      </c>
      <c r="D199" s="1" t="s">
        <v>316</v>
      </c>
      <c r="E199" s="72"/>
      <c r="F199" s="71" t="s">
        <v>208</v>
      </c>
      <c r="G199" s="72"/>
      <c r="H199" s="72" t="s">
        <v>372</v>
      </c>
      <c r="I199" s="71"/>
      <c r="J199" s="114"/>
      <c r="K199" s="114"/>
      <c r="L199" s="114"/>
      <c r="M199" s="47"/>
      <c r="N199" s="44">
        <v>0.86</v>
      </c>
      <c r="O199" s="16">
        <v>1</v>
      </c>
      <c r="P199" s="16">
        <v>3</v>
      </c>
      <c r="Q199" s="16">
        <v>4</v>
      </c>
      <c r="R199" s="16">
        <v>6</v>
      </c>
      <c r="S199" s="16" t="s">
        <v>76</v>
      </c>
      <c r="T199" s="18">
        <v>90</v>
      </c>
      <c r="U199" s="18">
        <v>45</v>
      </c>
      <c r="V199" s="71">
        <v>1</v>
      </c>
      <c r="W199" s="46">
        <f>(T199-U199)/T199</f>
        <v>0.5</v>
      </c>
      <c r="X199" s="16" t="s">
        <v>76</v>
      </c>
      <c r="Y199" s="110" t="s">
        <v>88</v>
      </c>
      <c r="Z199" s="110" t="s">
        <v>88</v>
      </c>
      <c r="AA199" s="110" t="s">
        <v>88</v>
      </c>
      <c r="AB199" s="110" t="s">
        <v>88</v>
      </c>
      <c r="AC199" s="16">
        <v>16</v>
      </c>
      <c r="AD199" s="16">
        <v>0</v>
      </c>
      <c r="AE199" s="16" t="s">
        <v>542</v>
      </c>
      <c r="AF199" s="16" t="s">
        <v>76</v>
      </c>
      <c r="AG199" s="6">
        <v>0.22</v>
      </c>
      <c r="AH199" s="16" t="s">
        <v>76</v>
      </c>
      <c r="AI199" s="6">
        <v>0.59</v>
      </c>
      <c r="AJ199" s="1" t="s">
        <v>85</v>
      </c>
      <c r="AK199" s="16">
        <v>10</v>
      </c>
      <c r="AL199" s="16">
        <v>2</v>
      </c>
      <c r="AM199" s="16">
        <v>1</v>
      </c>
      <c r="AN199" s="16">
        <v>1</v>
      </c>
      <c r="AO199" s="16" t="s">
        <v>85</v>
      </c>
      <c r="AP199" s="16">
        <v>3</v>
      </c>
      <c r="AQ199" s="16">
        <v>0</v>
      </c>
      <c r="AR199" s="16">
        <v>2</v>
      </c>
      <c r="AS199" s="16">
        <v>1</v>
      </c>
      <c r="AT199" s="16">
        <v>1</v>
      </c>
      <c r="AU199" s="16">
        <v>1</v>
      </c>
      <c r="AV199" s="16">
        <v>1</v>
      </c>
      <c r="AW199" s="16">
        <v>1</v>
      </c>
      <c r="AX199" s="16">
        <v>1</v>
      </c>
      <c r="AY199" s="7"/>
      <c r="AZ199" s="7"/>
      <c r="BA199" s="7"/>
      <c r="BB199" s="116"/>
      <c r="BC199" s="116"/>
      <c r="BD199" s="86" t="str">
        <f t="shared" si="53"/>
        <v>YES</v>
      </c>
    </row>
    <row r="200" spans="1:59" ht="15.6" x14ac:dyDescent="0.6">
      <c r="A200" s="84">
        <v>8</v>
      </c>
      <c r="B200" s="89">
        <v>147866</v>
      </c>
      <c r="C200" s="123" t="s">
        <v>373</v>
      </c>
      <c r="D200" s="1" t="s">
        <v>316</v>
      </c>
      <c r="E200" s="72"/>
      <c r="F200" s="7" t="s">
        <v>80</v>
      </c>
      <c r="G200" s="72"/>
      <c r="H200" s="72" t="s">
        <v>372</v>
      </c>
      <c r="I200" s="71"/>
      <c r="J200" s="114"/>
      <c r="K200" s="114"/>
      <c r="L200" s="114"/>
      <c r="M200" s="47"/>
      <c r="N200" s="44">
        <v>0.2</v>
      </c>
      <c r="O200" s="16">
        <v>1</v>
      </c>
      <c r="P200" s="16">
        <v>0</v>
      </c>
      <c r="Q200" s="16">
        <v>0</v>
      </c>
      <c r="R200" s="16">
        <v>0</v>
      </c>
      <c r="S200" s="16" t="s">
        <v>114</v>
      </c>
      <c r="T200" s="16" t="s">
        <v>114</v>
      </c>
      <c r="U200" s="16" t="s">
        <v>114</v>
      </c>
      <c r="V200" s="16" t="s">
        <v>114</v>
      </c>
      <c r="W200" s="16" t="s">
        <v>114</v>
      </c>
      <c r="X200" s="16" t="s">
        <v>114</v>
      </c>
      <c r="Y200" s="16" t="s">
        <v>114</v>
      </c>
      <c r="Z200" s="16" t="s">
        <v>114</v>
      </c>
      <c r="AA200" s="16" t="s">
        <v>114</v>
      </c>
      <c r="AB200" s="16" t="s">
        <v>114</v>
      </c>
      <c r="AC200" s="16">
        <v>2</v>
      </c>
      <c r="AD200" s="16">
        <v>0</v>
      </c>
      <c r="AE200" s="16" t="s">
        <v>540</v>
      </c>
      <c r="AF200" s="16" t="s">
        <v>76</v>
      </c>
      <c r="AG200" s="16" t="s">
        <v>114</v>
      </c>
      <c r="AH200" s="16" t="s">
        <v>114</v>
      </c>
      <c r="AI200" s="16" t="s">
        <v>114</v>
      </c>
      <c r="AJ200" s="16" t="s">
        <v>114</v>
      </c>
      <c r="AK200" s="16">
        <v>0</v>
      </c>
      <c r="AL200" s="16">
        <v>0</v>
      </c>
      <c r="AM200" s="16">
        <v>0</v>
      </c>
      <c r="AN200" s="16">
        <v>0</v>
      </c>
      <c r="AO200" s="16" t="s">
        <v>76</v>
      </c>
      <c r="AP200" s="16">
        <v>0</v>
      </c>
      <c r="AQ200" s="16">
        <v>0</v>
      </c>
      <c r="AR200" s="16">
        <v>0</v>
      </c>
      <c r="AS200" s="16">
        <v>0</v>
      </c>
      <c r="AT200" s="16">
        <v>0</v>
      </c>
      <c r="AU200" s="16">
        <v>0</v>
      </c>
      <c r="AV200" s="16">
        <v>0</v>
      </c>
      <c r="AW200" s="16">
        <v>0</v>
      </c>
      <c r="AX200" s="16">
        <v>0</v>
      </c>
      <c r="AY200" s="7"/>
      <c r="AZ200" s="7"/>
      <c r="BA200" s="7"/>
      <c r="BB200" s="116"/>
      <c r="BC200" s="116"/>
      <c r="BD200" s="86" t="str">
        <f t="shared" si="53"/>
        <v>No</v>
      </c>
    </row>
    <row r="201" spans="1:59" ht="15.6" x14ac:dyDescent="0.6">
      <c r="A201" s="84">
        <v>9</v>
      </c>
      <c r="B201" s="89">
        <v>147924</v>
      </c>
      <c r="C201" s="89" t="s">
        <v>550</v>
      </c>
      <c r="D201" s="1" t="s">
        <v>551</v>
      </c>
      <c r="E201" s="1"/>
      <c r="F201" s="16" t="s">
        <v>117</v>
      </c>
      <c r="G201" s="113"/>
      <c r="H201" s="72" t="s">
        <v>374</v>
      </c>
      <c r="I201" s="71"/>
      <c r="J201" s="114"/>
      <c r="K201" s="114"/>
      <c r="L201" s="114"/>
      <c r="M201" s="47"/>
      <c r="N201" s="44">
        <v>0.51</v>
      </c>
      <c r="O201" s="16">
        <v>4</v>
      </c>
      <c r="P201" s="16">
        <v>2</v>
      </c>
      <c r="Q201" s="16">
        <v>4</v>
      </c>
      <c r="R201" s="16">
        <v>6</v>
      </c>
      <c r="S201" s="16" t="s">
        <v>88</v>
      </c>
      <c r="T201" s="16" t="s">
        <v>88</v>
      </c>
      <c r="U201" s="16" t="s">
        <v>88</v>
      </c>
      <c r="V201" s="16" t="s">
        <v>88</v>
      </c>
      <c r="W201" s="16" t="s">
        <v>88</v>
      </c>
      <c r="X201" s="16" t="s">
        <v>88</v>
      </c>
      <c r="Y201" s="16" t="s">
        <v>114</v>
      </c>
      <c r="Z201" s="16" t="s">
        <v>114</v>
      </c>
      <c r="AA201" s="16" t="s">
        <v>114</v>
      </c>
      <c r="AB201" s="16" t="s">
        <v>114</v>
      </c>
      <c r="AC201" s="16">
        <v>8</v>
      </c>
      <c r="AD201" s="16">
        <v>0</v>
      </c>
      <c r="AE201" s="16" t="s">
        <v>540</v>
      </c>
      <c r="AF201" s="16" t="s">
        <v>76</v>
      </c>
      <c r="AG201" s="16" t="s">
        <v>114</v>
      </c>
      <c r="AH201" s="16" t="s">
        <v>114</v>
      </c>
      <c r="AI201" s="16" t="s">
        <v>114</v>
      </c>
      <c r="AJ201" s="16" t="s">
        <v>114</v>
      </c>
      <c r="AK201" s="16">
        <v>0</v>
      </c>
      <c r="AL201" s="16">
        <v>0</v>
      </c>
      <c r="AM201" s="16">
        <v>0</v>
      </c>
      <c r="AN201" s="16">
        <v>0</v>
      </c>
      <c r="AO201" s="16" t="s">
        <v>76</v>
      </c>
      <c r="AP201" s="16">
        <v>0</v>
      </c>
      <c r="AQ201" s="16">
        <v>0</v>
      </c>
      <c r="AR201" s="16">
        <v>0</v>
      </c>
      <c r="AS201" s="16">
        <v>0</v>
      </c>
      <c r="AT201" s="16">
        <v>0</v>
      </c>
      <c r="AU201" s="16">
        <v>0</v>
      </c>
      <c r="AV201" s="16">
        <v>0</v>
      </c>
      <c r="AW201" s="16">
        <v>0</v>
      </c>
      <c r="AX201" s="16">
        <v>1</v>
      </c>
      <c r="AY201" s="7"/>
      <c r="AZ201" s="7"/>
      <c r="BA201" s="7"/>
      <c r="BB201" s="116"/>
      <c r="BC201" s="116"/>
      <c r="BD201" s="86" t="str">
        <f t="shared" ref="BD201:BD219" si="58">IF(N201&gt;60%,"YES","No")</f>
        <v>No</v>
      </c>
    </row>
    <row r="202" spans="1:59" ht="15.6" x14ac:dyDescent="0.6">
      <c r="A202" s="84">
        <v>10</v>
      </c>
      <c r="B202" s="88">
        <v>147894</v>
      </c>
      <c r="C202" s="108" t="s">
        <v>375</v>
      </c>
      <c r="D202" s="1" t="s">
        <v>85</v>
      </c>
      <c r="F202" s="7" t="s">
        <v>93</v>
      </c>
      <c r="H202" s="29" t="s">
        <v>368</v>
      </c>
      <c r="I202" s="71"/>
      <c r="J202" s="114"/>
      <c r="K202" s="114"/>
      <c r="L202" s="114"/>
      <c r="M202" s="47"/>
      <c r="N202" s="44">
        <v>0.48</v>
      </c>
      <c r="O202" s="16">
        <v>3</v>
      </c>
      <c r="P202" s="16">
        <v>0</v>
      </c>
      <c r="Q202" s="16">
        <v>3</v>
      </c>
      <c r="R202" s="16">
        <v>0</v>
      </c>
      <c r="S202" s="16" t="s">
        <v>76</v>
      </c>
      <c r="T202" s="162" t="s">
        <v>76</v>
      </c>
      <c r="U202" s="162" t="s">
        <v>76</v>
      </c>
      <c r="V202" s="16" t="s">
        <v>114</v>
      </c>
      <c r="W202" s="16" t="s">
        <v>76</v>
      </c>
      <c r="X202" s="16" t="s">
        <v>76</v>
      </c>
      <c r="Y202" s="110" t="s">
        <v>88</v>
      </c>
      <c r="Z202" s="110" t="s">
        <v>88</v>
      </c>
      <c r="AA202" s="110" t="s">
        <v>88</v>
      </c>
      <c r="AB202" s="110" t="s">
        <v>88</v>
      </c>
      <c r="AC202" s="16">
        <v>0</v>
      </c>
      <c r="AD202" s="162">
        <v>0</v>
      </c>
      <c r="AE202" s="16" t="s">
        <v>540</v>
      </c>
      <c r="AF202" s="16" t="s">
        <v>76</v>
      </c>
      <c r="AG202" s="16" t="s">
        <v>114</v>
      </c>
      <c r="AH202" s="16" t="s">
        <v>114</v>
      </c>
      <c r="AI202" s="16" t="s">
        <v>114</v>
      </c>
      <c r="AJ202" s="16" t="s">
        <v>114</v>
      </c>
      <c r="AK202" s="16">
        <v>0</v>
      </c>
      <c r="AL202" s="16">
        <v>0</v>
      </c>
      <c r="AM202" s="16">
        <v>0</v>
      </c>
      <c r="AN202" s="16">
        <v>0</v>
      </c>
      <c r="AO202" s="16" t="s">
        <v>85</v>
      </c>
      <c r="AP202" s="16">
        <v>3</v>
      </c>
      <c r="AQ202" s="16">
        <v>0</v>
      </c>
      <c r="AR202" s="16">
        <v>1</v>
      </c>
      <c r="AS202" s="16">
        <v>1</v>
      </c>
      <c r="AT202" s="16">
        <v>1</v>
      </c>
      <c r="AU202" s="16">
        <v>0</v>
      </c>
      <c r="AV202" s="16">
        <v>1</v>
      </c>
      <c r="AW202" s="16">
        <v>1</v>
      </c>
      <c r="AX202" s="16">
        <v>1</v>
      </c>
      <c r="AY202" s="7"/>
      <c r="AZ202" s="7"/>
      <c r="BA202" s="7"/>
      <c r="BB202" s="116"/>
      <c r="BC202" s="116"/>
      <c r="BD202" s="86" t="str">
        <f t="shared" si="58"/>
        <v>No</v>
      </c>
    </row>
    <row r="203" spans="1:59" ht="15.6" x14ac:dyDescent="0.6">
      <c r="A203" s="84">
        <v>11</v>
      </c>
      <c r="B203" s="88">
        <v>147893</v>
      </c>
      <c r="C203" s="108" t="s">
        <v>376</v>
      </c>
      <c r="D203" s="1" t="s">
        <v>85</v>
      </c>
      <c r="F203" s="7" t="s">
        <v>365</v>
      </c>
      <c r="H203" s="29" t="s">
        <v>372</v>
      </c>
      <c r="I203" s="71"/>
      <c r="J203" s="114"/>
      <c r="K203" s="114"/>
      <c r="L203" s="114"/>
      <c r="M203" s="47"/>
      <c r="N203" s="53">
        <v>0</v>
      </c>
      <c r="O203" s="16"/>
      <c r="P203" s="16"/>
      <c r="Q203" s="16"/>
      <c r="R203" s="16"/>
      <c r="S203" s="16"/>
      <c r="T203" s="16"/>
      <c r="U203" s="16"/>
      <c r="V203" s="71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7"/>
      <c r="AZ203" s="7"/>
      <c r="BA203" s="7"/>
      <c r="BB203" s="116"/>
      <c r="BC203" s="116"/>
      <c r="BD203" s="86" t="str">
        <f t="shared" si="58"/>
        <v>No</v>
      </c>
    </row>
    <row r="204" spans="1:59" ht="15.6" x14ac:dyDescent="0.6">
      <c r="A204" s="84">
        <v>12</v>
      </c>
      <c r="B204" s="88">
        <v>147878</v>
      </c>
      <c r="C204" s="108" t="s">
        <v>377</v>
      </c>
      <c r="D204" s="1" t="s">
        <v>85</v>
      </c>
      <c r="F204" s="7" t="s">
        <v>365</v>
      </c>
      <c r="H204" s="29" t="s">
        <v>378</v>
      </c>
      <c r="I204" s="71"/>
      <c r="J204" s="114"/>
      <c r="K204" s="114"/>
      <c r="L204" s="114"/>
      <c r="M204" s="47"/>
      <c r="N204" s="44">
        <v>0.77</v>
      </c>
      <c r="O204" s="16">
        <v>2</v>
      </c>
      <c r="P204" s="16">
        <v>1</v>
      </c>
      <c r="Q204" s="16">
        <v>1</v>
      </c>
      <c r="R204" s="16">
        <v>6</v>
      </c>
      <c r="S204" s="16" t="s">
        <v>88</v>
      </c>
      <c r="T204" s="16" t="s">
        <v>88</v>
      </c>
      <c r="U204" s="16" t="s">
        <v>88</v>
      </c>
      <c r="V204" s="16" t="s">
        <v>88</v>
      </c>
      <c r="W204" s="16" t="s">
        <v>88</v>
      </c>
      <c r="X204" s="16" t="s">
        <v>88</v>
      </c>
      <c r="Y204" s="16" t="s">
        <v>114</v>
      </c>
      <c r="Z204" s="16" t="s">
        <v>114</v>
      </c>
      <c r="AA204" s="16" t="s">
        <v>114</v>
      </c>
      <c r="AB204" s="16" t="s">
        <v>114</v>
      </c>
      <c r="AC204" s="16">
        <v>2</v>
      </c>
      <c r="AD204" s="16">
        <v>0</v>
      </c>
      <c r="AE204" s="16" t="s">
        <v>540</v>
      </c>
      <c r="AF204" s="16" t="s">
        <v>76</v>
      </c>
      <c r="AG204" s="16" t="s">
        <v>114</v>
      </c>
      <c r="AH204" s="16" t="s">
        <v>114</v>
      </c>
      <c r="AI204" s="16" t="s">
        <v>114</v>
      </c>
      <c r="AJ204" s="16" t="s">
        <v>114</v>
      </c>
      <c r="AK204" s="16">
        <v>2</v>
      </c>
      <c r="AL204" s="16">
        <v>0</v>
      </c>
      <c r="AM204" s="16">
        <v>0</v>
      </c>
      <c r="AN204" s="16">
        <v>0</v>
      </c>
      <c r="AO204" s="16" t="s">
        <v>76</v>
      </c>
      <c r="AP204" s="16">
        <v>1</v>
      </c>
      <c r="AQ204" s="16">
        <v>1</v>
      </c>
      <c r="AR204" s="16">
        <v>2</v>
      </c>
      <c r="AS204" s="16">
        <v>1</v>
      </c>
      <c r="AT204" s="16">
        <v>1</v>
      </c>
      <c r="AU204" s="16">
        <v>1</v>
      </c>
      <c r="AV204" s="16">
        <v>1</v>
      </c>
      <c r="AW204" s="16">
        <v>1</v>
      </c>
      <c r="AX204" s="16">
        <v>1</v>
      </c>
      <c r="AY204" s="7"/>
      <c r="AZ204" s="7"/>
      <c r="BA204" s="7"/>
      <c r="BB204" s="116"/>
      <c r="BC204" s="116"/>
      <c r="BD204" s="86" t="str">
        <f t="shared" si="58"/>
        <v>YES</v>
      </c>
    </row>
    <row r="205" spans="1:59" ht="15.6" x14ac:dyDescent="0.6">
      <c r="A205" s="84">
        <v>13</v>
      </c>
      <c r="B205" s="88">
        <v>147951</v>
      </c>
      <c r="C205" s="108" t="s">
        <v>379</v>
      </c>
      <c r="D205" s="1" t="s">
        <v>85</v>
      </c>
      <c r="F205" s="7" t="s">
        <v>93</v>
      </c>
      <c r="H205" s="29" t="s">
        <v>380</v>
      </c>
      <c r="I205" s="71"/>
      <c r="J205" s="114"/>
      <c r="K205" s="114"/>
      <c r="L205" s="114"/>
      <c r="M205" s="47"/>
      <c r="N205" s="53">
        <v>0</v>
      </c>
      <c r="O205" s="16"/>
      <c r="P205" s="16"/>
      <c r="Q205" s="16"/>
      <c r="R205" s="16"/>
      <c r="S205" s="16"/>
      <c r="T205" s="16"/>
      <c r="U205" s="16"/>
      <c r="V205" s="71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7"/>
      <c r="AZ205" s="7"/>
      <c r="BA205" s="7"/>
      <c r="BB205" s="116"/>
      <c r="BC205" s="116"/>
      <c r="BD205" s="86"/>
    </row>
    <row r="206" spans="1:59" ht="15.6" x14ac:dyDescent="0.6">
      <c r="A206" s="84">
        <v>16</v>
      </c>
      <c r="B206" s="88">
        <v>147942</v>
      </c>
      <c r="C206" s="108" t="s">
        <v>526</v>
      </c>
      <c r="D206" s="1" t="s">
        <v>85</v>
      </c>
      <c r="F206" s="7" t="s">
        <v>93</v>
      </c>
      <c r="H206" s="29" t="s">
        <v>363</v>
      </c>
      <c r="I206" s="71"/>
      <c r="J206" s="114"/>
      <c r="K206" s="114"/>
      <c r="L206" s="114"/>
      <c r="M206" s="47"/>
      <c r="N206" s="53">
        <v>0</v>
      </c>
      <c r="O206" s="16"/>
      <c r="P206" s="16"/>
      <c r="Q206" s="16"/>
      <c r="R206" s="16"/>
      <c r="S206" s="16"/>
      <c r="T206" s="16"/>
      <c r="U206" s="16"/>
      <c r="V206" s="71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7"/>
      <c r="AZ206" s="7"/>
      <c r="BA206" s="7"/>
      <c r="BB206" s="116"/>
      <c r="BC206" s="116"/>
      <c r="BD206" s="86"/>
    </row>
    <row r="207" spans="1:59" ht="15.6" x14ac:dyDescent="0.6">
      <c r="A207" s="84">
        <v>17</v>
      </c>
      <c r="B207" s="88">
        <v>147943</v>
      </c>
      <c r="C207" s="108" t="s">
        <v>527</v>
      </c>
      <c r="D207" s="1" t="s">
        <v>85</v>
      </c>
      <c r="F207" s="7" t="s">
        <v>93</v>
      </c>
      <c r="H207" s="29" t="s">
        <v>363</v>
      </c>
      <c r="I207" s="71"/>
      <c r="J207" s="114"/>
      <c r="K207" s="114"/>
      <c r="L207" s="114"/>
      <c r="M207" s="47"/>
      <c r="N207" s="53">
        <v>0</v>
      </c>
      <c r="O207" s="16"/>
      <c r="P207" s="16"/>
      <c r="Q207" s="16"/>
      <c r="R207" s="16"/>
      <c r="S207" s="16"/>
      <c r="T207" s="16"/>
      <c r="U207" s="16"/>
      <c r="V207" s="71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7"/>
      <c r="AZ207" s="7"/>
      <c r="BA207" s="7"/>
      <c r="BB207" s="116"/>
      <c r="BC207" s="116"/>
      <c r="BD207" s="86"/>
    </row>
    <row r="208" spans="1:59" ht="15.6" x14ac:dyDescent="0.6">
      <c r="A208" s="84"/>
      <c r="B208" s="177" t="s">
        <v>392</v>
      </c>
      <c r="C208" s="108" t="s">
        <v>393</v>
      </c>
      <c r="D208" s="1" t="s">
        <v>85</v>
      </c>
      <c r="E208" s="1"/>
      <c r="F208" s="16" t="s">
        <v>208</v>
      </c>
      <c r="G208" s="113"/>
      <c r="H208" s="72" t="s">
        <v>394</v>
      </c>
      <c r="I208" s="71"/>
      <c r="J208" s="114"/>
      <c r="K208" s="114"/>
      <c r="L208" s="114"/>
      <c r="M208" s="44"/>
      <c r="N208" s="53">
        <v>0</v>
      </c>
      <c r="O208" s="16"/>
      <c r="P208" s="16"/>
      <c r="Q208" s="16"/>
      <c r="R208" s="16"/>
      <c r="S208" s="5"/>
      <c r="T208" s="109"/>
      <c r="U208" s="121"/>
      <c r="V208" s="71"/>
      <c r="W208" s="49"/>
      <c r="X208" s="16"/>
      <c r="Y208" s="110"/>
      <c r="Z208" s="110"/>
      <c r="AA208" s="110"/>
      <c r="AB208" s="110"/>
      <c r="AC208" s="16"/>
      <c r="AD208" s="16"/>
      <c r="AE208" s="16"/>
      <c r="AF208" s="16"/>
      <c r="AG208" s="111"/>
      <c r="AH208" s="165"/>
      <c r="AI208" s="47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22"/>
      <c r="AZ208" s="49"/>
      <c r="BA208" s="122"/>
      <c r="BB208" s="13"/>
      <c r="BC208" s="13"/>
      <c r="BD208" s="86" t="str">
        <f>IF(N220&gt;60%,"YES","No")</f>
        <v>YES</v>
      </c>
    </row>
    <row r="209" spans="1:59" ht="15.6" x14ac:dyDescent="0.6">
      <c r="A209" s="84"/>
      <c r="B209" s="177" t="s">
        <v>395</v>
      </c>
      <c r="C209" s="108" t="s">
        <v>396</v>
      </c>
      <c r="D209" s="1" t="s">
        <v>85</v>
      </c>
      <c r="E209" s="1"/>
      <c r="F209" s="28" t="s">
        <v>391</v>
      </c>
      <c r="G209" s="113"/>
      <c r="H209" s="72" t="s">
        <v>394</v>
      </c>
      <c r="I209" s="71"/>
      <c r="J209" s="114"/>
      <c r="K209" s="114"/>
      <c r="L209" s="114"/>
      <c r="M209" s="44"/>
      <c r="N209" s="53">
        <v>0</v>
      </c>
      <c r="O209" s="16"/>
      <c r="P209" s="16"/>
      <c r="Q209" s="16"/>
      <c r="R209" s="16"/>
      <c r="S209" s="5"/>
      <c r="T209" s="109"/>
      <c r="U209" s="121"/>
      <c r="V209" s="71"/>
      <c r="W209" s="46"/>
      <c r="X209" s="16"/>
      <c r="Y209" s="110"/>
      <c r="Z209" s="110"/>
      <c r="AA209" s="110"/>
      <c r="AB209" s="110"/>
      <c r="AC209" s="16"/>
      <c r="AD209" s="16"/>
      <c r="AE209" s="16"/>
      <c r="AF209" s="16"/>
      <c r="AG209" s="111"/>
      <c r="AH209" s="165"/>
      <c r="AI209" s="47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85"/>
      <c r="AZ209" s="46"/>
      <c r="BA209" s="85"/>
      <c r="BB209" s="13"/>
      <c r="BC209" s="13"/>
      <c r="BD209" s="86" t="str">
        <f>IF(N209&gt;60%,"YES","No")</f>
        <v>No</v>
      </c>
    </row>
    <row r="210" spans="1:59" ht="15.6" x14ac:dyDescent="0.6">
      <c r="A210" s="84"/>
      <c r="B210" s="89">
        <v>147895</v>
      </c>
      <c r="C210" s="123" t="s">
        <v>382</v>
      </c>
      <c r="D210" s="1" t="s">
        <v>555</v>
      </c>
      <c r="E210" s="72"/>
      <c r="F210" s="7" t="s">
        <v>80</v>
      </c>
      <c r="G210" s="72"/>
      <c r="H210" s="72" t="s">
        <v>318</v>
      </c>
      <c r="I210" s="71"/>
      <c r="J210" s="114"/>
      <c r="K210" s="114"/>
      <c r="L210" s="114"/>
      <c r="M210" s="47"/>
      <c r="N210" s="53">
        <v>0</v>
      </c>
      <c r="O210" s="16"/>
      <c r="P210" s="16"/>
      <c r="Q210" s="16"/>
      <c r="R210" s="16"/>
      <c r="S210" s="16"/>
      <c r="T210" s="16"/>
      <c r="U210" s="16"/>
      <c r="V210" s="71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7"/>
      <c r="AZ210" s="7"/>
      <c r="BA210" s="7"/>
      <c r="BB210" s="116"/>
      <c r="BC210" s="116"/>
      <c r="BD210" s="86"/>
    </row>
    <row r="211" spans="1:59" ht="15.6" x14ac:dyDescent="0.6">
      <c r="A211" s="84"/>
      <c r="B211" s="60">
        <v>147792</v>
      </c>
      <c r="C211" s="65" t="s">
        <v>528</v>
      </c>
      <c r="D211" s="28" t="s">
        <v>529</v>
      </c>
      <c r="F211" s="7"/>
      <c r="H211" s="29"/>
      <c r="I211" s="71"/>
      <c r="J211" s="114"/>
      <c r="K211" s="114"/>
      <c r="L211" s="114"/>
      <c r="M211" s="47"/>
      <c r="N211" s="44"/>
      <c r="O211" s="16"/>
      <c r="P211" s="16"/>
      <c r="Q211" s="16"/>
      <c r="R211" s="16"/>
      <c r="S211" s="16"/>
      <c r="T211" s="16"/>
      <c r="U211" s="16"/>
      <c r="V211" s="71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7"/>
      <c r="AZ211" s="7"/>
      <c r="BA211" s="7"/>
      <c r="BB211" s="116"/>
      <c r="BC211" s="116"/>
      <c r="BD211" s="86"/>
    </row>
    <row r="212" spans="1:59" ht="15.6" x14ac:dyDescent="0.6">
      <c r="A212" s="84"/>
      <c r="B212" s="60" t="s">
        <v>493</v>
      </c>
      <c r="C212" s="65" t="s">
        <v>494</v>
      </c>
      <c r="D212" s="28" t="s">
        <v>76</v>
      </c>
      <c r="F212" s="7"/>
      <c r="H212" s="29"/>
      <c r="I212" s="71"/>
      <c r="J212" s="114"/>
      <c r="K212" s="114"/>
      <c r="L212" s="114"/>
      <c r="M212" s="47"/>
      <c r="N212" s="44"/>
      <c r="O212" s="16"/>
      <c r="P212" s="16"/>
      <c r="Q212" s="16"/>
      <c r="R212" s="16"/>
      <c r="S212" s="16"/>
      <c r="T212" s="16"/>
      <c r="U212" s="16"/>
      <c r="V212" s="71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7"/>
      <c r="AZ212" s="7"/>
      <c r="BA212" s="7"/>
      <c r="BB212" s="116"/>
      <c r="BC212" s="116"/>
      <c r="BD212" s="86"/>
    </row>
    <row r="213" spans="1:59" ht="15.6" x14ac:dyDescent="0.6">
      <c r="A213" s="84"/>
      <c r="B213" s="60" t="s">
        <v>495</v>
      </c>
      <c r="C213" s="65" t="s">
        <v>496</v>
      </c>
      <c r="D213" s="28" t="s">
        <v>76</v>
      </c>
      <c r="F213" s="7"/>
      <c r="H213" s="29"/>
      <c r="I213" s="71"/>
      <c r="J213" s="114"/>
      <c r="K213" s="114"/>
      <c r="L213" s="114"/>
      <c r="M213" s="47"/>
      <c r="N213" s="44"/>
      <c r="O213" s="16"/>
      <c r="P213" s="16"/>
      <c r="Q213" s="16"/>
      <c r="R213" s="16"/>
      <c r="S213" s="16"/>
      <c r="T213" s="16"/>
      <c r="U213" s="16"/>
      <c r="V213" s="71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7"/>
      <c r="AZ213" s="7"/>
      <c r="BA213" s="7"/>
      <c r="BB213" s="116"/>
      <c r="BC213" s="116"/>
      <c r="BD213" s="86"/>
    </row>
    <row r="214" spans="1:59" ht="15.6" x14ac:dyDescent="0.6">
      <c r="A214" s="84">
        <v>14</v>
      </c>
      <c r="B214" s="60" t="s">
        <v>491</v>
      </c>
      <c r="C214" s="65" t="s">
        <v>490</v>
      </c>
      <c r="D214" s="28" t="s">
        <v>552</v>
      </c>
      <c r="F214" s="7" t="s">
        <v>492</v>
      </c>
      <c r="H214" s="29" t="s">
        <v>394</v>
      </c>
      <c r="I214" s="71"/>
      <c r="J214" s="114"/>
      <c r="K214" s="114"/>
      <c r="L214" s="114"/>
      <c r="M214" s="47"/>
      <c r="N214" s="44">
        <v>0</v>
      </c>
      <c r="O214" s="16"/>
      <c r="P214" s="16"/>
      <c r="Q214" s="16"/>
      <c r="R214" s="16"/>
      <c r="S214" s="16"/>
      <c r="T214" s="16"/>
      <c r="U214" s="16"/>
      <c r="V214" s="71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7"/>
      <c r="AZ214" s="7"/>
      <c r="BA214" s="7"/>
      <c r="BB214" s="116"/>
      <c r="BC214" s="116"/>
      <c r="BD214" s="86"/>
    </row>
    <row r="215" spans="1:59" ht="15.6" x14ac:dyDescent="0.6">
      <c r="A215" s="84">
        <v>15</v>
      </c>
      <c r="B215" s="60">
        <v>147968</v>
      </c>
      <c r="C215" s="65" t="s">
        <v>524</v>
      </c>
      <c r="D215" s="28" t="s">
        <v>552</v>
      </c>
      <c r="F215" s="7" t="s">
        <v>492</v>
      </c>
      <c r="H215" s="29" t="s">
        <v>525</v>
      </c>
      <c r="I215" s="71"/>
      <c r="J215" s="114"/>
      <c r="K215" s="114"/>
      <c r="L215" s="114"/>
      <c r="M215" s="47"/>
      <c r="N215" s="44">
        <v>0</v>
      </c>
      <c r="O215" s="16"/>
      <c r="P215" s="16"/>
      <c r="Q215" s="16"/>
      <c r="R215" s="16"/>
      <c r="S215" s="16"/>
      <c r="T215" s="16"/>
      <c r="U215" s="16"/>
      <c r="V215" s="71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7"/>
      <c r="AZ215" s="7"/>
      <c r="BA215" s="7"/>
      <c r="BB215" s="116"/>
      <c r="BC215" s="116"/>
      <c r="BD215" s="86"/>
    </row>
    <row r="216" spans="1:59" ht="15.6" x14ac:dyDescent="0.6">
      <c r="A216" s="84"/>
      <c r="B216" s="84">
        <v>232001</v>
      </c>
      <c r="C216" s="117" t="s">
        <v>381</v>
      </c>
      <c r="D216" s="28" t="s">
        <v>82</v>
      </c>
      <c r="E216" s="28" t="s">
        <v>82</v>
      </c>
      <c r="F216" s="28" t="s">
        <v>82</v>
      </c>
      <c r="G216" s="28" t="s">
        <v>82</v>
      </c>
      <c r="H216" s="28" t="s">
        <v>82</v>
      </c>
      <c r="I216" s="71"/>
      <c r="J216" s="114"/>
      <c r="K216" s="114"/>
      <c r="L216" s="114"/>
      <c r="M216" s="47"/>
      <c r="N216" s="44"/>
      <c r="O216" s="16"/>
      <c r="P216" s="16"/>
      <c r="Q216" s="16"/>
      <c r="R216" s="16"/>
      <c r="S216" s="16"/>
      <c r="T216" s="16"/>
      <c r="U216" s="16"/>
      <c r="V216" s="71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7"/>
      <c r="AZ216" s="7"/>
      <c r="BA216" s="7"/>
      <c r="BB216" s="116"/>
      <c r="BC216" s="116"/>
      <c r="BD216" s="86" t="str">
        <f t="shared" ref="BD216" si="59">IF(N216&gt;60%,"YES","No")</f>
        <v>No</v>
      </c>
    </row>
    <row r="217" spans="1:59" ht="15.6" x14ac:dyDescent="0.6">
      <c r="A217" s="84"/>
      <c r="B217" s="84">
        <v>147927</v>
      </c>
      <c r="C217" s="84" t="s">
        <v>383</v>
      </c>
      <c r="D217" s="28" t="s">
        <v>76</v>
      </c>
      <c r="E217" s="1"/>
      <c r="F217" s="16" t="s">
        <v>384</v>
      </c>
      <c r="G217" s="113"/>
      <c r="H217" s="72" t="s">
        <v>318</v>
      </c>
      <c r="I217" s="71"/>
      <c r="J217" s="114"/>
      <c r="K217" s="114"/>
      <c r="L217" s="114"/>
      <c r="M217" s="47"/>
      <c r="N217" s="44"/>
      <c r="O217" s="16"/>
      <c r="P217" s="16"/>
      <c r="Q217" s="16"/>
      <c r="R217" s="16"/>
      <c r="S217" s="16"/>
      <c r="T217" s="16"/>
      <c r="U217" s="16"/>
      <c r="V217" s="71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7"/>
      <c r="AZ217" s="7"/>
      <c r="BA217" s="7"/>
      <c r="BB217" s="116"/>
      <c r="BC217" s="116"/>
      <c r="BD217" s="86" t="str">
        <f>IF(N217&gt;60%,"YES","No")</f>
        <v>No</v>
      </c>
    </row>
    <row r="218" spans="1:59" ht="15.6" x14ac:dyDescent="0.6">
      <c r="A218" s="84"/>
      <c r="B218" s="84">
        <v>147732.00099999999</v>
      </c>
      <c r="C218" s="117" t="s">
        <v>385</v>
      </c>
      <c r="D218" s="28" t="s">
        <v>556</v>
      </c>
      <c r="E218" s="72"/>
      <c r="F218" s="7" t="s">
        <v>91</v>
      </c>
      <c r="G218" s="72"/>
      <c r="H218" s="72" t="s">
        <v>386</v>
      </c>
      <c r="I218" s="71"/>
      <c r="J218" s="114"/>
      <c r="K218" s="114"/>
      <c r="L218" s="114"/>
      <c r="M218" s="47"/>
      <c r="N218" s="44"/>
      <c r="O218" s="16"/>
      <c r="P218" s="16"/>
      <c r="Q218" s="16"/>
      <c r="R218" s="16"/>
      <c r="S218" s="16"/>
      <c r="T218" s="16"/>
      <c r="U218" s="16"/>
      <c r="V218" s="71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7"/>
      <c r="AZ218" s="7"/>
      <c r="BA218" s="7"/>
      <c r="BB218" s="116"/>
      <c r="BC218" s="116"/>
      <c r="BD218" s="86"/>
    </row>
    <row r="219" spans="1:59" ht="15.6" x14ac:dyDescent="0.6">
      <c r="B219" s="60">
        <v>147846</v>
      </c>
      <c r="C219" s="65" t="s">
        <v>387</v>
      </c>
      <c r="D219" s="28" t="s">
        <v>388</v>
      </c>
      <c r="E219" s="124"/>
      <c r="F219" s="124"/>
      <c r="H219" s="29" t="s">
        <v>389</v>
      </c>
      <c r="I219" s="71"/>
      <c r="J219" s="114"/>
      <c r="K219" s="114"/>
      <c r="L219" s="114"/>
      <c r="M219" s="47"/>
      <c r="N219" s="44"/>
      <c r="O219" s="16"/>
      <c r="P219" s="16"/>
      <c r="Q219" s="16"/>
      <c r="R219" s="16"/>
      <c r="S219" s="16"/>
      <c r="T219" s="16"/>
      <c r="U219" s="16"/>
      <c r="V219" s="71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7"/>
      <c r="AZ219" s="7"/>
      <c r="BA219" s="7"/>
      <c r="BB219" s="116"/>
      <c r="BC219" s="116"/>
      <c r="BD219" s="86" t="str">
        <f t="shared" si="58"/>
        <v>No</v>
      </c>
    </row>
    <row r="220" spans="1:59" ht="15.6" x14ac:dyDescent="0.6">
      <c r="A220" s="84"/>
      <c r="B220" s="84">
        <v>147786</v>
      </c>
      <c r="C220" s="76" t="s">
        <v>390</v>
      </c>
      <c r="D220" s="28" t="s">
        <v>82</v>
      </c>
      <c r="E220" s="28"/>
      <c r="F220" s="28" t="s">
        <v>391</v>
      </c>
      <c r="G220" s="113" t="s">
        <v>317</v>
      </c>
      <c r="H220" s="72" t="s">
        <v>363</v>
      </c>
      <c r="I220" s="71" t="s">
        <v>140</v>
      </c>
      <c r="J220" s="114"/>
      <c r="K220" s="114"/>
      <c r="L220" s="114"/>
      <c r="M220" s="44">
        <v>0</v>
      </c>
      <c r="N220" s="44">
        <v>0.88</v>
      </c>
      <c r="O220" s="16">
        <v>4</v>
      </c>
      <c r="P220" s="16">
        <v>2</v>
      </c>
      <c r="Q220" s="16">
        <v>1</v>
      </c>
      <c r="R220" s="16">
        <v>2</v>
      </c>
      <c r="S220" s="16" t="s">
        <v>76</v>
      </c>
      <c r="T220" s="163">
        <v>90</v>
      </c>
      <c r="U220" s="164">
        <v>49.5</v>
      </c>
      <c r="V220" s="71">
        <v>1</v>
      </c>
      <c r="W220" s="49">
        <f t="shared" ref="W220" si="60">(T220-U220)/T220</f>
        <v>0.45</v>
      </c>
      <c r="X220" s="16" t="s">
        <v>76</v>
      </c>
      <c r="Y220" s="110" t="s">
        <v>161</v>
      </c>
      <c r="Z220" s="110" t="s">
        <v>161</v>
      </c>
      <c r="AA220" s="110" t="s">
        <v>161</v>
      </c>
      <c r="AB220" s="110" t="s">
        <v>161</v>
      </c>
      <c r="AC220" s="16">
        <v>17</v>
      </c>
      <c r="AD220" s="16">
        <v>0</v>
      </c>
      <c r="AE220" s="16"/>
      <c r="AF220" s="16">
        <v>3</v>
      </c>
      <c r="AG220" s="111"/>
      <c r="AH220" s="165" t="s">
        <v>76</v>
      </c>
      <c r="AI220" s="115"/>
      <c r="AJ220" s="16" t="s">
        <v>76</v>
      </c>
      <c r="AK220" s="16">
        <v>10</v>
      </c>
      <c r="AL220" s="16">
        <v>4</v>
      </c>
      <c r="AM220" s="16">
        <v>0</v>
      </c>
      <c r="AN220" s="16">
        <v>0</v>
      </c>
      <c r="AO220" s="16"/>
      <c r="AP220" s="16">
        <v>3</v>
      </c>
      <c r="AQ220" s="16"/>
      <c r="AR220" s="16">
        <v>1</v>
      </c>
      <c r="AS220" s="16">
        <v>1</v>
      </c>
      <c r="AT220" s="16">
        <v>1</v>
      </c>
      <c r="AU220" s="16">
        <v>0</v>
      </c>
      <c r="AV220" s="16">
        <v>0</v>
      </c>
      <c r="AW220" s="16">
        <v>1</v>
      </c>
      <c r="AX220" s="16">
        <v>1</v>
      </c>
      <c r="AY220" s="122">
        <f>O220+P220+Q220+R220+AC220+AD220+AF220+AK220+AL220+AM220+AN220+AP220+AR220+AS220+AT220+AU220+AV220+AW220+AX220</f>
        <v>51</v>
      </c>
      <c r="AZ220" s="49">
        <f t="shared" ref="AZ220" si="61">AY220/67</f>
        <v>0.76119402985074625</v>
      </c>
      <c r="BA220" s="122" t="s">
        <v>180</v>
      </c>
      <c r="BB220" s="13"/>
      <c r="BC220" s="13"/>
      <c r="BD220" s="86" t="e">
        <f>IF(#REF!&gt;60%,"YES","No")</f>
        <v>#REF!</v>
      </c>
      <c r="BE220" s="76" t="str">
        <f>C220</f>
        <v>HCA Medical City Frisco Vert Exp - possibly going away (end of March)</v>
      </c>
      <c r="BF220" s="76" t="str">
        <f>H220</f>
        <v>Matt Enslin</v>
      </c>
      <c r="BG220" s="76" t="str">
        <f t="shared" ref="BG220" si="62">IF(AZ220&gt;65%,"No need to contact","need to contact")</f>
        <v>No need to contact</v>
      </c>
    </row>
    <row r="221" spans="1:59" ht="15.6" x14ac:dyDescent="0.6">
      <c r="A221" s="84"/>
      <c r="B221" s="125" t="s">
        <v>397</v>
      </c>
      <c r="C221" s="65" t="s">
        <v>398</v>
      </c>
      <c r="D221" s="28" t="s">
        <v>76</v>
      </c>
      <c r="E221" s="1"/>
      <c r="F221" s="16" t="s">
        <v>91</v>
      </c>
      <c r="G221" s="113"/>
      <c r="H221" s="72" t="s">
        <v>394</v>
      </c>
      <c r="I221" s="71"/>
      <c r="J221" s="114"/>
      <c r="K221" s="114"/>
      <c r="L221" s="114"/>
      <c r="M221" s="44"/>
      <c r="N221" s="44">
        <v>0</v>
      </c>
      <c r="O221" s="16"/>
      <c r="P221" s="16"/>
      <c r="Q221" s="16"/>
      <c r="R221" s="16"/>
      <c r="S221" s="5"/>
      <c r="T221" s="109"/>
      <c r="U221" s="121"/>
      <c r="V221" s="71"/>
      <c r="W221" s="46"/>
      <c r="X221" s="16"/>
      <c r="Y221" s="110"/>
      <c r="Z221" s="110"/>
      <c r="AA221" s="110"/>
      <c r="AB221" s="110"/>
      <c r="AC221" s="16"/>
      <c r="AD221" s="16"/>
      <c r="AE221" s="16"/>
      <c r="AF221" s="16"/>
      <c r="AG221" s="111"/>
      <c r="AH221" s="165"/>
      <c r="AI221" s="47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85"/>
      <c r="AZ221" s="46"/>
      <c r="BA221" s="85"/>
      <c r="BB221" s="13"/>
      <c r="BC221" s="13"/>
      <c r="BD221" s="86"/>
    </row>
    <row r="222" spans="1:59" ht="15.6" x14ac:dyDescent="0.6">
      <c r="A222" s="84"/>
      <c r="B222" s="125" t="s">
        <v>399</v>
      </c>
      <c r="C222" s="65" t="s">
        <v>400</v>
      </c>
      <c r="D222" s="28" t="s">
        <v>76</v>
      </c>
      <c r="E222" s="1"/>
      <c r="F222" s="16"/>
      <c r="G222" s="113"/>
      <c r="H222" s="72"/>
      <c r="I222" s="71"/>
      <c r="J222" s="114"/>
      <c r="K222" s="114"/>
      <c r="L222" s="114"/>
      <c r="M222" s="44"/>
      <c r="N222" s="44"/>
      <c r="O222" s="16"/>
      <c r="P222" s="16"/>
      <c r="Q222" s="16"/>
      <c r="R222" s="16"/>
      <c r="S222" s="5"/>
      <c r="T222" s="109"/>
      <c r="U222" s="121"/>
      <c r="V222" s="71"/>
      <c r="W222" s="46"/>
      <c r="X222" s="16"/>
      <c r="Y222" s="110"/>
      <c r="Z222" s="110"/>
      <c r="AA222" s="110"/>
      <c r="AB222" s="110"/>
      <c r="AC222" s="16"/>
      <c r="AD222" s="16"/>
      <c r="AE222" s="16"/>
      <c r="AF222" s="16"/>
      <c r="AG222" s="111"/>
      <c r="AH222" s="165"/>
      <c r="AI222" s="47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85"/>
      <c r="AZ222" s="46"/>
      <c r="BA222" s="85"/>
      <c r="BB222" s="13"/>
      <c r="BC222" s="13"/>
      <c r="BD222" s="86"/>
    </row>
    <row r="223" spans="1:59" ht="15.6" x14ac:dyDescent="0.6">
      <c r="A223" s="84"/>
      <c r="B223" s="84">
        <v>148002</v>
      </c>
      <c r="C223" s="76" t="s">
        <v>401</v>
      </c>
      <c r="D223" s="5"/>
      <c r="E223" s="5"/>
      <c r="F223" s="28" t="s">
        <v>77</v>
      </c>
      <c r="G223" s="113"/>
      <c r="H223" s="72" t="s">
        <v>402</v>
      </c>
      <c r="I223" s="113"/>
      <c r="J223" s="114"/>
      <c r="K223" s="114"/>
      <c r="L223" s="114"/>
      <c r="M223" s="44">
        <v>0</v>
      </c>
      <c r="O223" s="16">
        <v>4</v>
      </c>
      <c r="P223" s="16">
        <v>2</v>
      </c>
      <c r="Q223" s="16">
        <v>1</v>
      </c>
      <c r="R223" s="16">
        <v>2</v>
      </c>
      <c r="S223" s="16" t="s">
        <v>76</v>
      </c>
      <c r="T223" s="163">
        <v>90</v>
      </c>
      <c r="U223" s="164">
        <v>49.5</v>
      </c>
      <c r="V223" s="71">
        <v>1</v>
      </c>
      <c r="W223" s="49">
        <f t="shared" ref="W223" si="63">(T223-U223)/T223</f>
        <v>0.45</v>
      </c>
      <c r="X223" s="16" t="s">
        <v>76</v>
      </c>
      <c r="Y223" s="110" t="s">
        <v>88</v>
      </c>
      <c r="Z223" s="110" t="s">
        <v>88</v>
      </c>
      <c r="AA223" s="110" t="s">
        <v>88</v>
      </c>
      <c r="AB223" s="110" t="s">
        <v>88</v>
      </c>
      <c r="AC223" s="16">
        <v>17</v>
      </c>
      <c r="AD223" s="16">
        <v>0</v>
      </c>
      <c r="AE223" s="16"/>
      <c r="AF223" s="16" t="s">
        <v>76</v>
      </c>
      <c r="AG223" s="111"/>
      <c r="AH223" s="165" t="s">
        <v>76</v>
      </c>
      <c r="AI223" s="47"/>
      <c r="AJ223" s="16" t="s">
        <v>76</v>
      </c>
      <c r="AK223" s="16">
        <v>10</v>
      </c>
      <c r="AL223" s="16">
        <v>4</v>
      </c>
      <c r="AM223" s="16">
        <v>0</v>
      </c>
      <c r="AN223" s="16">
        <v>0</v>
      </c>
      <c r="AO223" s="16"/>
      <c r="AP223" s="16">
        <v>3</v>
      </c>
      <c r="AQ223" s="16"/>
      <c r="AR223" s="16">
        <v>1</v>
      </c>
      <c r="AS223" s="16">
        <v>1</v>
      </c>
      <c r="AT223" s="16">
        <v>1</v>
      </c>
      <c r="AU223" s="16">
        <v>0</v>
      </c>
      <c r="AV223" s="16">
        <v>0</v>
      </c>
      <c r="AW223" s="16">
        <v>1</v>
      </c>
      <c r="AX223" s="16">
        <v>1</v>
      </c>
      <c r="AY223" s="122" t="e">
        <f>O223+P223+Q223+R223+AC223+AD223+AF223+AK223+AL223+AM223+AN223+AP223+AR223+AS223+AT223+AU223+AV223+AW223+AX223</f>
        <v>#VALUE!</v>
      </c>
      <c r="AZ223" s="49" t="e">
        <f>AY223/67</f>
        <v>#VALUE!</v>
      </c>
      <c r="BA223" s="122" t="s">
        <v>180</v>
      </c>
      <c r="BB223" s="13"/>
      <c r="BC223" s="13"/>
      <c r="BD223" s="86" t="str">
        <f>IF(N223&gt;60%,"YES","No")</f>
        <v>No</v>
      </c>
      <c r="BE223" s="76" t="str">
        <f>C223</f>
        <v>Methodist SA S&amp;T Reno - (not in project app)</v>
      </c>
      <c r="BF223" s="76" t="str">
        <f>H223</f>
        <v>Devin Weaver/Omar</v>
      </c>
      <c r="BG223" s="76" t="e">
        <f>IF(AZ223&gt;65%,"No need to contact","need to contact")</f>
        <v>#VALUE!</v>
      </c>
    </row>
    <row r="224" spans="1:59" ht="14.5" customHeight="1" x14ac:dyDescent="0.6">
      <c r="A224" s="84"/>
      <c r="B224" s="84">
        <v>147866</v>
      </c>
      <c r="C224" s="84" t="s">
        <v>403</v>
      </c>
      <c r="D224" s="28" t="s">
        <v>76</v>
      </c>
      <c r="E224" s="72"/>
      <c r="F224" s="71" t="s">
        <v>91</v>
      </c>
      <c r="G224" s="72"/>
      <c r="H224" s="72" t="s">
        <v>404</v>
      </c>
      <c r="I224" s="71"/>
      <c r="J224" s="114"/>
      <c r="K224" s="114"/>
      <c r="L224" s="114"/>
      <c r="M224" s="47"/>
      <c r="N224" s="44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7"/>
      <c r="AZ224" s="7"/>
      <c r="BA224" s="7"/>
      <c r="BB224" s="116"/>
      <c r="BC224" s="116"/>
      <c r="BD224" s="86" t="str">
        <f t="shared" si="53"/>
        <v>No</v>
      </c>
    </row>
    <row r="225" spans="1:59" ht="15.6" x14ac:dyDescent="0.6">
      <c r="A225" s="84"/>
      <c r="B225" s="84">
        <v>147802</v>
      </c>
      <c r="C225" s="84" t="s">
        <v>405</v>
      </c>
      <c r="D225" s="28" t="s">
        <v>76</v>
      </c>
      <c r="E225" s="72" t="s">
        <v>406</v>
      </c>
      <c r="F225" s="71" t="s">
        <v>407</v>
      </c>
      <c r="H225" s="72" t="s">
        <v>408</v>
      </c>
      <c r="I225" s="72"/>
      <c r="J225" s="72" t="s">
        <v>408</v>
      </c>
      <c r="K225" s="114"/>
      <c r="L225" s="114"/>
      <c r="M225" s="47"/>
      <c r="N225" s="44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7"/>
      <c r="AZ225" s="7"/>
      <c r="BA225" s="7"/>
      <c r="BB225" s="116"/>
      <c r="BC225" s="116"/>
      <c r="BD225" s="86" t="str">
        <f t="shared" si="53"/>
        <v>No</v>
      </c>
      <c r="BE225" s="76" t="str">
        <f>C225</f>
        <v>Encompass Health Clinton HIH - Test Fit</v>
      </c>
      <c r="BF225" s="87" t="str">
        <f>F225</f>
        <v>Test Fit</v>
      </c>
      <c r="BG225" s="87" t="str">
        <f t="shared" ref="BG225:BG226" si="64">IF(AZ225&gt;65%,"No need to contact","need to contact")</f>
        <v>need to contact</v>
      </c>
    </row>
    <row r="226" spans="1:59" ht="15.6" x14ac:dyDescent="0.6">
      <c r="A226" s="84"/>
      <c r="B226" s="84">
        <v>147803</v>
      </c>
      <c r="C226" s="84" t="s">
        <v>409</v>
      </c>
      <c r="D226" s="28" t="s">
        <v>76</v>
      </c>
      <c r="E226" s="72" t="s">
        <v>406</v>
      </c>
      <c r="F226" s="71" t="s">
        <v>407</v>
      </c>
      <c r="H226" s="72" t="s">
        <v>408</v>
      </c>
      <c r="I226" s="72"/>
      <c r="J226" s="72" t="s">
        <v>408</v>
      </c>
      <c r="K226" s="114"/>
      <c r="L226" s="114"/>
      <c r="M226" s="47"/>
      <c r="N226" s="44"/>
      <c r="O226" s="16" t="s">
        <v>410</v>
      </c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7"/>
      <c r="AZ226" s="7"/>
      <c r="BA226" s="7"/>
      <c r="BB226" s="116"/>
      <c r="BC226" s="116"/>
      <c r="BD226" s="86" t="str">
        <f t="shared" si="53"/>
        <v>No</v>
      </c>
      <c r="BE226" s="76" t="str">
        <f>C226</f>
        <v>Encompass Health Rehab Bridgewater  - Test Fit</v>
      </c>
      <c r="BF226" s="87" t="str">
        <f>F226</f>
        <v>Test Fit</v>
      </c>
      <c r="BG226" s="87" t="str">
        <f t="shared" si="64"/>
        <v>need to contact</v>
      </c>
    </row>
    <row r="227" spans="1:59" ht="15.6" x14ac:dyDescent="0.6">
      <c r="A227" s="84"/>
      <c r="B227" s="84">
        <v>147822</v>
      </c>
      <c r="C227" s="84" t="s">
        <v>411</v>
      </c>
      <c r="D227" s="28" t="s">
        <v>76</v>
      </c>
      <c r="E227" s="72" t="s">
        <v>406</v>
      </c>
      <c r="F227" s="71" t="s">
        <v>407</v>
      </c>
      <c r="H227" s="72" t="s">
        <v>408</v>
      </c>
      <c r="I227" s="71"/>
      <c r="J227" s="114"/>
      <c r="K227" s="114"/>
      <c r="L227" s="114"/>
      <c r="M227" s="47"/>
      <c r="N227" s="44"/>
      <c r="O227" s="16" t="s">
        <v>410</v>
      </c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7"/>
      <c r="AZ227" s="7"/>
      <c r="BA227" s="7"/>
      <c r="BB227" s="116"/>
      <c r="BC227" s="116"/>
      <c r="BD227" s="86" t="str">
        <f t="shared" si="53"/>
        <v>No</v>
      </c>
    </row>
    <row r="228" spans="1:59" ht="15.6" x14ac:dyDescent="0.6">
      <c r="A228" s="84"/>
      <c r="B228" s="84">
        <v>147810</v>
      </c>
      <c r="C228" s="84" t="s">
        <v>412</v>
      </c>
      <c r="D228" s="28" t="s">
        <v>76</v>
      </c>
      <c r="E228" s="72"/>
      <c r="F228" s="71" t="s">
        <v>407</v>
      </c>
      <c r="G228" s="72"/>
      <c r="H228" s="72" t="s">
        <v>408</v>
      </c>
      <c r="I228" s="71"/>
      <c r="J228" s="114"/>
      <c r="K228" s="114"/>
      <c r="L228" s="114"/>
      <c r="M228" s="47"/>
      <c r="N228" s="44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7"/>
      <c r="AZ228" s="7"/>
      <c r="BA228" s="7"/>
      <c r="BB228" s="116"/>
      <c r="BC228" s="116"/>
      <c r="BD228" s="86" t="str">
        <f t="shared" si="53"/>
        <v>No</v>
      </c>
    </row>
    <row r="229" spans="1:59" ht="15.6" x14ac:dyDescent="0.6">
      <c r="A229" s="60"/>
      <c r="B229" s="60">
        <v>147164.20199999999</v>
      </c>
      <c r="C229" s="65" t="s">
        <v>413</v>
      </c>
      <c r="D229" s="28" t="s">
        <v>76</v>
      </c>
      <c r="E229" s="1"/>
      <c r="F229" s="16" t="s">
        <v>208</v>
      </c>
      <c r="G229" s="113"/>
      <c r="H229" s="72" t="s">
        <v>414</v>
      </c>
      <c r="I229" s="71"/>
      <c r="J229" s="114"/>
      <c r="K229" s="94"/>
      <c r="L229" s="28"/>
      <c r="M229" s="15"/>
      <c r="N229" s="44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85"/>
      <c r="AZ229" s="46"/>
      <c r="BA229" s="85"/>
      <c r="BB229" s="116"/>
      <c r="BC229" s="116"/>
      <c r="BD229" s="86" t="str">
        <f t="shared" si="53"/>
        <v>No</v>
      </c>
      <c r="BF229" s="87"/>
      <c r="BG229" s="87"/>
    </row>
    <row r="230" spans="1:59" ht="15.6" x14ac:dyDescent="0.6">
      <c r="A230" s="60"/>
      <c r="B230" s="60">
        <v>147164.201</v>
      </c>
      <c r="C230" s="65" t="s">
        <v>415</v>
      </c>
      <c r="D230" s="28" t="s">
        <v>76</v>
      </c>
      <c r="E230" s="1"/>
      <c r="F230" s="16" t="s">
        <v>208</v>
      </c>
      <c r="G230" s="113"/>
      <c r="H230" s="72" t="s">
        <v>414</v>
      </c>
      <c r="I230" s="71"/>
      <c r="J230" s="114"/>
      <c r="K230" s="94"/>
      <c r="L230" s="28"/>
      <c r="M230" s="15"/>
      <c r="N230" s="44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85"/>
      <c r="AZ230" s="46"/>
      <c r="BA230" s="85"/>
      <c r="BB230" s="116"/>
      <c r="BC230" s="116"/>
      <c r="BD230" s="86" t="str">
        <f t="shared" si="53"/>
        <v>No</v>
      </c>
      <c r="BF230" s="87"/>
      <c r="BG230" s="87"/>
    </row>
    <row r="231" spans="1:59" ht="15.6" x14ac:dyDescent="0.6">
      <c r="A231" s="60"/>
      <c r="B231" s="60">
        <v>147361.00099999999</v>
      </c>
      <c r="C231" s="65" t="s">
        <v>416</v>
      </c>
      <c r="D231" s="28" t="s">
        <v>76</v>
      </c>
      <c r="E231" s="1"/>
      <c r="F231" s="16" t="s">
        <v>208</v>
      </c>
      <c r="G231" s="113"/>
      <c r="H231" s="72" t="s">
        <v>414</v>
      </c>
      <c r="I231" s="71"/>
      <c r="J231" s="114"/>
      <c r="K231" s="94"/>
      <c r="L231" s="28"/>
      <c r="M231" s="15"/>
      <c r="N231" s="44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85"/>
      <c r="AZ231" s="46"/>
      <c r="BA231" s="85"/>
      <c r="BB231" s="116"/>
      <c r="BC231" s="116"/>
      <c r="BD231" s="86" t="str">
        <f t="shared" si="53"/>
        <v>No</v>
      </c>
      <c r="BF231" s="87"/>
      <c r="BG231" s="87"/>
    </row>
    <row r="232" spans="1:59" ht="15.6" x14ac:dyDescent="0.6">
      <c r="A232" s="60"/>
      <c r="B232" s="60">
        <v>232302</v>
      </c>
      <c r="C232" s="65" t="s">
        <v>417</v>
      </c>
      <c r="D232" s="28" t="s">
        <v>76</v>
      </c>
      <c r="E232" s="1"/>
      <c r="F232" s="16"/>
      <c r="G232" s="113"/>
      <c r="H232" s="72" t="s">
        <v>414</v>
      </c>
      <c r="I232" s="71"/>
      <c r="J232" s="114"/>
      <c r="K232" s="94"/>
      <c r="L232" s="28"/>
      <c r="M232" s="15"/>
      <c r="N232" s="44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85"/>
      <c r="AZ232" s="46"/>
      <c r="BA232" s="85"/>
      <c r="BB232" s="116"/>
      <c r="BC232" s="116"/>
      <c r="BD232" s="86" t="str">
        <f t="shared" si="53"/>
        <v>No</v>
      </c>
      <c r="BF232" s="87"/>
      <c r="BG232" s="87"/>
    </row>
    <row r="233" spans="1:59" ht="15.6" x14ac:dyDescent="0.6">
      <c r="A233" s="84"/>
      <c r="B233" s="84">
        <v>92</v>
      </c>
      <c r="C233" s="84" t="s">
        <v>418</v>
      </c>
      <c r="D233" s="28" t="s">
        <v>76</v>
      </c>
      <c r="E233" s="72"/>
      <c r="F233" s="71"/>
      <c r="G233" s="72"/>
      <c r="H233" s="72"/>
      <c r="I233" s="71"/>
      <c r="J233" s="114"/>
      <c r="K233" s="114"/>
      <c r="L233" s="114"/>
      <c r="M233" s="47"/>
      <c r="N233" s="44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7"/>
      <c r="AZ233" s="7"/>
      <c r="BA233" s="7"/>
      <c r="BB233" s="116"/>
      <c r="BC233" s="116"/>
      <c r="BD233" s="86" t="str">
        <f t="shared" si="53"/>
        <v>No</v>
      </c>
    </row>
    <row r="234" spans="1:59" ht="15.6" x14ac:dyDescent="0.6">
      <c r="A234" s="84"/>
      <c r="B234" s="84">
        <v>147687</v>
      </c>
      <c r="C234" s="84" t="s">
        <v>419</v>
      </c>
      <c r="D234" s="28" t="s">
        <v>76</v>
      </c>
      <c r="E234" s="72"/>
      <c r="F234" s="71"/>
      <c r="G234" s="72"/>
      <c r="H234" s="72" t="s">
        <v>363</v>
      </c>
      <c r="I234" s="71"/>
      <c r="J234" s="114"/>
      <c r="K234" s="114"/>
      <c r="L234" s="114"/>
      <c r="M234" s="47"/>
      <c r="N234" s="44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7"/>
      <c r="AZ234" s="7"/>
      <c r="BA234" s="7"/>
      <c r="BB234" s="116"/>
      <c r="BC234" s="116"/>
      <c r="BD234" s="86" t="str">
        <f t="shared" si="53"/>
        <v>No</v>
      </c>
    </row>
    <row r="235" spans="1:59" ht="15.6" x14ac:dyDescent="0.6">
      <c r="A235" s="84"/>
      <c r="B235" s="84">
        <v>147694</v>
      </c>
      <c r="C235" s="84" t="s">
        <v>420</v>
      </c>
      <c r="D235" s="28" t="s">
        <v>76</v>
      </c>
      <c r="E235" s="72"/>
      <c r="F235" s="71"/>
      <c r="G235" s="72"/>
      <c r="H235" s="72" t="s">
        <v>363</v>
      </c>
      <c r="I235" s="71"/>
      <c r="J235" s="114"/>
      <c r="K235" s="114"/>
      <c r="L235" s="114"/>
      <c r="M235" s="47"/>
      <c r="N235" s="44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7"/>
      <c r="AZ235" s="7"/>
      <c r="BA235" s="7"/>
      <c r="BB235" s="116"/>
      <c r="BC235" s="116"/>
      <c r="BD235" s="86" t="str">
        <f t="shared" si="53"/>
        <v>No</v>
      </c>
    </row>
    <row r="236" spans="1:59" ht="15.6" x14ac:dyDescent="0.6">
      <c r="A236" s="84"/>
      <c r="B236" s="84">
        <v>147672</v>
      </c>
      <c r="C236" s="84" t="s">
        <v>421</v>
      </c>
      <c r="D236" s="28" t="s">
        <v>76</v>
      </c>
      <c r="E236" s="72"/>
      <c r="F236" s="71" t="s">
        <v>365</v>
      </c>
      <c r="G236" s="72"/>
      <c r="H236" s="72" t="s">
        <v>368</v>
      </c>
      <c r="I236" s="71"/>
      <c r="J236" s="114"/>
      <c r="K236" s="114"/>
      <c r="L236" s="114"/>
      <c r="M236" s="47"/>
      <c r="N236" s="44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7"/>
      <c r="AZ236" s="7"/>
      <c r="BA236" s="7"/>
      <c r="BB236" s="116"/>
      <c r="BC236" s="116"/>
      <c r="BD236" s="86" t="str">
        <f t="shared" si="53"/>
        <v>No</v>
      </c>
    </row>
    <row r="237" spans="1:59" ht="15.6" x14ac:dyDescent="0.6">
      <c r="A237" s="84"/>
      <c r="B237" s="84">
        <v>147867</v>
      </c>
      <c r="C237" s="84" t="s">
        <v>422</v>
      </c>
      <c r="D237" s="28" t="s">
        <v>76</v>
      </c>
      <c r="E237" s="72"/>
      <c r="F237" s="71" t="s">
        <v>96</v>
      </c>
      <c r="G237" s="72"/>
      <c r="H237" s="72"/>
      <c r="I237" s="71"/>
      <c r="J237" s="114"/>
      <c r="K237" s="114"/>
      <c r="L237" s="114"/>
      <c r="M237" s="47"/>
      <c r="N237" s="44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7"/>
      <c r="AZ237" s="7"/>
      <c r="BA237" s="7"/>
      <c r="BB237" s="116"/>
      <c r="BC237" s="116"/>
      <c r="BD237" s="86" t="str">
        <f t="shared" si="53"/>
        <v>No</v>
      </c>
    </row>
    <row r="238" spans="1:59" ht="15.6" x14ac:dyDescent="0.6">
      <c r="I238" s="71"/>
      <c r="J238" s="114"/>
      <c r="K238" s="114"/>
      <c r="L238" s="114"/>
      <c r="M238" s="47"/>
      <c r="N238" s="47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G238" s="119"/>
      <c r="AH238" s="119"/>
      <c r="AI238" s="119"/>
      <c r="AJ238" s="119"/>
      <c r="AK238" s="119"/>
      <c r="AL238" s="119"/>
      <c r="AM238" s="119"/>
      <c r="AN238" s="119"/>
      <c r="AO238" s="119"/>
      <c r="AP238" s="119"/>
      <c r="AQ238" s="119"/>
      <c r="AR238" s="119"/>
      <c r="AS238" s="119"/>
      <c r="AT238" s="119"/>
      <c r="AU238" s="119"/>
      <c r="AV238" s="119"/>
      <c r="AW238" s="119"/>
      <c r="AX238" s="119"/>
      <c r="AY238" s="7"/>
      <c r="AZ238" s="7"/>
      <c r="BA238" s="7"/>
      <c r="BB238" s="116"/>
      <c r="BC238" s="116"/>
    </row>
    <row r="239" spans="1:59" ht="78" x14ac:dyDescent="0.6">
      <c r="B239" s="184" t="s">
        <v>423</v>
      </c>
      <c r="C239" s="184"/>
      <c r="D239" s="185"/>
      <c r="E239" s="185"/>
      <c r="F239" s="185"/>
      <c r="G239" s="185"/>
      <c r="H239" s="185"/>
      <c r="I239" s="185"/>
      <c r="J239" s="95"/>
      <c r="K239" s="96"/>
      <c r="L239" s="37"/>
      <c r="M239" s="38"/>
      <c r="N239" s="38"/>
      <c r="O239" s="98" t="s">
        <v>424</v>
      </c>
      <c r="P239" s="98" t="s">
        <v>425</v>
      </c>
      <c r="Q239" s="98" t="s">
        <v>426</v>
      </c>
      <c r="R239" s="98" t="s">
        <v>425</v>
      </c>
      <c r="S239" s="142" t="s">
        <v>427</v>
      </c>
      <c r="T239" s="39"/>
      <c r="U239" s="40"/>
      <c r="V239" s="173" t="s">
        <v>428</v>
      </c>
      <c r="W239" s="41"/>
      <c r="X239" s="98" t="s">
        <v>429</v>
      </c>
      <c r="Y239" s="96"/>
      <c r="Z239" s="96"/>
      <c r="AA239" s="96"/>
      <c r="AB239" s="98" t="s">
        <v>430</v>
      </c>
      <c r="AC239" s="98"/>
      <c r="AD239" s="142" t="s">
        <v>351</v>
      </c>
      <c r="AE239" s="142" t="s">
        <v>431</v>
      </c>
      <c r="AF239" s="37"/>
      <c r="AG239" s="41"/>
      <c r="AH239" s="98" t="s">
        <v>432</v>
      </c>
      <c r="AI239" s="42"/>
      <c r="AJ239" s="98" t="s">
        <v>433</v>
      </c>
      <c r="AK239" s="98"/>
      <c r="AL239" s="37"/>
      <c r="AM239" s="142" t="s">
        <v>434</v>
      </c>
      <c r="AN239" s="37"/>
      <c r="AO239" s="37"/>
      <c r="AP239" s="170"/>
      <c r="AQ239" s="42"/>
      <c r="AR239" s="37"/>
      <c r="AS239" s="37"/>
      <c r="AT239" s="97"/>
      <c r="AU239" s="97"/>
      <c r="AV239" s="97"/>
      <c r="AW239" s="97"/>
      <c r="AX239" s="142" t="s">
        <v>435</v>
      </c>
      <c r="AY239" s="99"/>
      <c r="AZ239" s="99"/>
      <c r="BA239" s="99"/>
      <c r="BB239" s="43"/>
      <c r="BC239" s="33"/>
    </row>
    <row r="240" spans="1:59" ht="15" customHeight="1" x14ac:dyDescent="0.6">
      <c r="X240" s="7"/>
      <c r="AB240" s="7"/>
      <c r="AC240" s="7"/>
    </row>
    <row r="241" spans="1:67" s="81" customFormat="1" ht="15.6" x14ac:dyDescent="0.6">
      <c r="B241" s="183" t="s">
        <v>436</v>
      </c>
      <c r="C241" s="183"/>
      <c r="D241" s="8"/>
      <c r="E241" s="8"/>
      <c r="F241" s="8"/>
      <c r="G241" s="8"/>
      <c r="H241" s="32"/>
      <c r="I241" s="9"/>
      <c r="J241" s="9"/>
      <c r="K241" s="9"/>
      <c r="L241" s="9"/>
      <c r="M241" s="9"/>
      <c r="N241" s="9"/>
      <c r="O241" s="10"/>
      <c r="P241" s="8"/>
      <c r="Q241" s="10"/>
      <c r="R241" s="8"/>
      <c r="S241" s="8"/>
      <c r="T241" s="22"/>
      <c r="U241" s="22"/>
      <c r="V241" s="22"/>
      <c r="W241" s="8"/>
      <c r="X241" s="8"/>
      <c r="Y241" s="22"/>
      <c r="Z241" s="22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10"/>
      <c r="AS241" s="10"/>
      <c r="AT241" s="10"/>
      <c r="AU241" s="10"/>
      <c r="AV241" s="10"/>
      <c r="AW241" s="10"/>
      <c r="AX241" s="8"/>
      <c r="AY241" s="11"/>
      <c r="AZ241" s="11"/>
      <c r="BA241" s="11"/>
      <c r="BB241" s="11"/>
      <c r="BC241" s="11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</row>
    <row r="242" spans="1:67" ht="15.6" x14ac:dyDescent="0.6">
      <c r="A242" s="84">
        <v>1</v>
      </c>
      <c r="B242" s="89">
        <v>141521</v>
      </c>
      <c r="C242" s="90" t="s">
        <v>437</v>
      </c>
      <c r="D242" s="1" t="s">
        <v>85</v>
      </c>
      <c r="F242" s="7" t="s">
        <v>515</v>
      </c>
      <c r="G242" s="76" t="s">
        <v>438</v>
      </c>
      <c r="H242" s="72" t="s">
        <v>439</v>
      </c>
      <c r="I242" s="113" t="s">
        <v>103</v>
      </c>
      <c r="N242" s="44">
        <v>0.97</v>
      </c>
      <c r="O242" s="16">
        <v>4</v>
      </c>
      <c r="P242" s="16">
        <v>4</v>
      </c>
      <c r="Q242" s="16">
        <v>4</v>
      </c>
      <c r="R242" s="16">
        <v>6</v>
      </c>
      <c r="S242" s="16" t="s">
        <v>88</v>
      </c>
      <c r="T242" s="16" t="s">
        <v>88</v>
      </c>
      <c r="U242" s="16" t="s">
        <v>88</v>
      </c>
      <c r="V242" s="16" t="s">
        <v>88</v>
      </c>
      <c r="W242" s="16" t="s">
        <v>88</v>
      </c>
      <c r="X242" s="16" t="s">
        <v>88</v>
      </c>
      <c r="Y242" s="16">
        <v>1</v>
      </c>
      <c r="Z242" s="16">
        <v>0.75</v>
      </c>
      <c r="AA242" s="46">
        <f>(Y242-Z242)/Y242</f>
        <v>0.25</v>
      </c>
      <c r="AB242" s="16" t="s">
        <v>85</v>
      </c>
      <c r="AC242" s="16">
        <v>13</v>
      </c>
      <c r="AD242" s="16">
        <v>0</v>
      </c>
      <c r="AE242" s="16" t="s">
        <v>539</v>
      </c>
      <c r="AF242" s="16" t="s">
        <v>76</v>
      </c>
      <c r="AG242" s="16" t="s">
        <v>114</v>
      </c>
      <c r="AH242" s="16" t="s">
        <v>114</v>
      </c>
      <c r="AI242" s="46" t="s">
        <v>88</v>
      </c>
      <c r="AJ242" s="46" t="s">
        <v>88</v>
      </c>
      <c r="AK242" s="16">
        <v>2</v>
      </c>
      <c r="AL242" s="16">
        <v>1</v>
      </c>
      <c r="AM242" s="16">
        <v>1</v>
      </c>
      <c r="AN242" s="16">
        <v>1</v>
      </c>
      <c r="AO242" s="16" t="s">
        <v>85</v>
      </c>
      <c r="AP242" s="16">
        <v>3</v>
      </c>
      <c r="AQ242" s="16">
        <v>1</v>
      </c>
      <c r="AR242" s="16">
        <v>2</v>
      </c>
      <c r="AS242" s="16">
        <v>1</v>
      </c>
      <c r="AT242" s="16">
        <v>1</v>
      </c>
      <c r="AU242" s="16">
        <v>1</v>
      </c>
      <c r="AV242" s="16">
        <v>1</v>
      </c>
      <c r="AW242" s="16">
        <v>1</v>
      </c>
      <c r="AX242" s="16">
        <v>1</v>
      </c>
      <c r="AY242" s="85" t="e">
        <f>O242+P242+Q242+R242+AC242+AD242+AF242+AK242+AL242+AM242+AN242+AP242+AR242+AS242+AT242+AU242+AV242+AW242+AX242</f>
        <v>#VALUE!</v>
      </c>
      <c r="AZ242" s="46" t="e">
        <f t="shared" ref="AZ242:AZ270" si="65">AY242/55</f>
        <v>#VALUE!</v>
      </c>
      <c r="BA242" s="85" t="s">
        <v>89</v>
      </c>
      <c r="BB242" s="116"/>
      <c r="BC242" s="116"/>
      <c r="BD242" s="86" t="str">
        <f t="shared" ref="BD242:BD260" si="66">IF(N242&gt;60%,"YES","No")</f>
        <v>YES</v>
      </c>
      <c r="BE242" s="76" t="str">
        <f t="shared" ref="BE242:BE248" si="67">C242</f>
        <v>Hockaday Lower School Re</v>
      </c>
      <c r="BF242" s="87" t="str">
        <f>H242</f>
        <v>Koko Nomura</v>
      </c>
      <c r="BG242" s="87" t="e">
        <f t="shared" ref="BG242:BG248" si="68">IF(AZ242&gt;65%,"No need to contact","need to contact")</f>
        <v>#VALUE!</v>
      </c>
    </row>
    <row r="243" spans="1:67" ht="15.6" x14ac:dyDescent="0.6">
      <c r="A243" s="84">
        <v>2</v>
      </c>
      <c r="B243" s="89">
        <v>141236.00099999999</v>
      </c>
      <c r="C243" s="89" t="s">
        <v>440</v>
      </c>
      <c r="D243" s="1" t="s">
        <v>316</v>
      </c>
      <c r="E243" s="72"/>
      <c r="F243" s="71" t="s">
        <v>80</v>
      </c>
      <c r="G243" s="72"/>
      <c r="H243" s="72" t="s">
        <v>439</v>
      </c>
      <c r="I243" s="71"/>
      <c r="J243" s="114"/>
      <c r="K243" s="114"/>
      <c r="L243" s="114"/>
      <c r="M243" s="47"/>
      <c r="N243" s="53">
        <v>0</v>
      </c>
      <c r="O243" s="16"/>
      <c r="P243" s="16"/>
      <c r="Q243" s="16"/>
      <c r="R243" s="16"/>
      <c r="S243" s="16" t="s">
        <v>88</v>
      </c>
      <c r="T243" s="16" t="s">
        <v>88</v>
      </c>
      <c r="U243" s="16" t="s">
        <v>88</v>
      </c>
      <c r="V243" s="16" t="s">
        <v>88</v>
      </c>
      <c r="W243" s="16" t="s">
        <v>88</v>
      </c>
      <c r="X243" s="16" t="s">
        <v>88</v>
      </c>
      <c r="Y243" s="16"/>
      <c r="Z243" s="16"/>
      <c r="AA243" s="16"/>
      <c r="AB243" s="16"/>
      <c r="AC243" s="16"/>
      <c r="AD243" s="16"/>
      <c r="AE243" s="16"/>
      <c r="AF243" s="16"/>
      <c r="AG243" s="49"/>
      <c r="AH243" s="16"/>
      <c r="AI243" s="46" t="s">
        <v>88</v>
      </c>
      <c r="AJ243" s="46" t="s">
        <v>88</v>
      </c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22"/>
      <c r="AZ243" s="49"/>
      <c r="BA243" s="122"/>
      <c r="BB243" s="116"/>
      <c r="BC243" s="116"/>
      <c r="BD243" s="86"/>
    </row>
    <row r="244" spans="1:67" ht="15" customHeight="1" x14ac:dyDescent="0.6">
      <c r="A244" s="84">
        <v>3</v>
      </c>
      <c r="B244" s="89">
        <v>141518</v>
      </c>
      <c r="C244" s="90" t="s">
        <v>441</v>
      </c>
      <c r="D244" s="1" t="s">
        <v>316</v>
      </c>
      <c r="F244" s="7" t="s">
        <v>80</v>
      </c>
      <c r="G244" s="76" t="s">
        <v>438</v>
      </c>
      <c r="H244" s="72" t="s">
        <v>442</v>
      </c>
      <c r="I244" s="113" t="s">
        <v>103</v>
      </c>
      <c r="N244" s="44">
        <v>0.71</v>
      </c>
      <c r="O244" s="16">
        <v>3</v>
      </c>
      <c r="P244" s="16">
        <v>0</v>
      </c>
      <c r="Q244" s="16">
        <v>1</v>
      </c>
      <c r="R244" s="16">
        <v>1</v>
      </c>
      <c r="S244" s="16" t="s">
        <v>88</v>
      </c>
      <c r="T244" s="16" t="s">
        <v>88</v>
      </c>
      <c r="U244" s="16" t="s">
        <v>88</v>
      </c>
      <c r="V244" s="16" t="s">
        <v>88</v>
      </c>
      <c r="W244" s="16" t="s">
        <v>88</v>
      </c>
      <c r="X244" s="16" t="s">
        <v>88</v>
      </c>
      <c r="Y244" s="16">
        <v>1</v>
      </c>
      <c r="Z244" s="16">
        <v>0.75</v>
      </c>
      <c r="AA244" s="46">
        <f>(Y244-Z244)/Y244</f>
        <v>0.25</v>
      </c>
      <c r="AB244" s="16" t="s">
        <v>85</v>
      </c>
      <c r="AC244" s="16">
        <v>13</v>
      </c>
      <c r="AD244" s="16">
        <v>0</v>
      </c>
      <c r="AE244" s="16" t="s">
        <v>542</v>
      </c>
      <c r="AF244" s="16" t="s">
        <v>76</v>
      </c>
      <c r="AG244" s="16" t="s">
        <v>114</v>
      </c>
      <c r="AH244" s="16" t="s">
        <v>114</v>
      </c>
      <c r="AI244" s="46" t="s">
        <v>88</v>
      </c>
      <c r="AJ244" s="46" t="s">
        <v>88</v>
      </c>
      <c r="AK244" s="16">
        <v>1</v>
      </c>
      <c r="AL244" s="16">
        <v>1</v>
      </c>
      <c r="AM244" s="16">
        <v>1</v>
      </c>
      <c r="AN244" s="16">
        <v>1</v>
      </c>
      <c r="AO244" s="16" t="s">
        <v>76</v>
      </c>
      <c r="AP244" s="16">
        <v>1</v>
      </c>
      <c r="AQ244" s="16">
        <v>1</v>
      </c>
      <c r="AR244" s="16">
        <v>1</v>
      </c>
      <c r="AS244" s="16">
        <v>1</v>
      </c>
      <c r="AT244" s="16">
        <v>1</v>
      </c>
      <c r="AU244" s="16">
        <v>1</v>
      </c>
      <c r="AV244" s="16">
        <v>1</v>
      </c>
      <c r="AW244" s="16">
        <v>1</v>
      </c>
      <c r="AX244" s="16">
        <v>1</v>
      </c>
      <c r="AY244" s="85" t="e">
        <f>O244+P244+Q244+R244+AC244+AD244+AF244+AK244+AL244+AM244+AN244+AP244+AR244+AS244+AT244+AU244+AV244+AW244+AX244</f>
        <v>#VALUE!</v>
      </c>
      <c r="AZ244" s="46" t="e">
        <f t="shared" si="65"/>
        <v>#VALUE!</v>
      </c>
      <c r="BA244" s="85" t="s">
        <v>180</v>
      </c>
      <c r="BB244" s="116"/>
      <c r="BC244" s="116"/>
      <c r="BD244" s="86" t="str">
        <f t="shared" si="66"/>
        <v>YES</v>
      </c>
      <c r="BE244" s="76" t="str">
        <f t="shared" si="67"/>
        <v>FRB-NIT Space Repurpose  - Last report is this year</v>
      </c>
      <c r="BF244" s="87" t="str">
        <f>H244</f>
        <v>Dana Weldon</v>
      </c>
      <c r="BG244" s="87" t="e">
        <f t="shared" si="68"/>
        <v>#VALUE!</v>
      </c>
    </row>
    <row r="245" spans="1:67" ht="15.6" x14ac:dyDescent="0.6">
      <c r="A245" s="84">
        <v>4</v>
      </c>
      <c r="B245" s="89">
        <v>141231.00099999999</v>
      </c>
      <c r="C245" s="89" t="s">
        <v>533</v>
      </c>
      <c r="D245" s="1" t="s">
        <v>316</v>
      </c>
      <c r="F245" s="71" t="s">
        <v>532</v>
      </c>
      <c r="G245" s="76" t="s">
        <v>438</v>
      </c>
      <c r="H245" s="72" t="s">
        <v>443</v>
      </c>
      <c r="I245" s="71"/>
      <c r="J245" s="114"/>
      <c r="K245" s="114"/>
      <c r="L245" s="114"/>
      <c r="M245" s="47"/>
      <c r="N245" s="53">
        <v>0</v>
      </c>
      <c r="O245" s="16"/>
      <c r="P245" s="16"/>
      <c r="Q245" s="16"/>
      <c r="R245" s="16"/>
      <c r="S245" s="16" t="s">
        <v>88</v>
      </c>
      <c r="T245" s="16" t="s">
        <v>88</v>
      </c>
      <c r="U245" s="16" t="s">
        <v>88</v>
      </c>
      <c r="V245" s="16" t="s">
        <v>88</v>
      </c>
      <c r="W245" s="16" t="s">
        <v>88</v>
      </c>
      <c r="X245" s="16" t="s">
        <v>88</v>
      </c>
      <c r="Y245" s="16"/>
      <c r="Z245" s="16"/>
      <c r="AA245" s="16"/>
      <c r="AB245" s="16"/>
      <c r="AC245" s="16"/>
      <c r="AD245" s="16"/>
      <c r="AE245" s="16"/>
      <c r="AF245" s="16"/>
      <c r="AG245" s="49"/>
      <c r="AH245" s="16"/>
      <c r="AI245" s="46" t="s">
        <v>88</v>
      </c>
      <c r="AJ245" s="46" t="s">
        <v>88</v>
      </c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22"/>
      <c r="AZ245" s="49"/>
      <c r="BA245" s="122"/>
      <c r="BB245" s="116"/>
      <c r="BC245" s="116"/>
      <c r="BD245" s="86" t="str">
        <f t="shared" ref="BD245" si="69">IF(N245&gt;60%,"YES","No")</f>
        <v>No</v>
      </c>
    </row>
    <row r="246" spans="1:67" ht="15.6" x14ac:dyDescent="0.6">
      <c r="A246" s="84"/>
      <c r="B246" s="89">
        <v>141239</v>
      </c>
      <c r="C246" s="89" t="s">
        <v>519</v>
      </c>
      <c r="D246" s="1" t="s">
        <v>316</v>
      </c>
      <c r="E246" s="126"/>
      <c r="F246" s="71" t="s">
        <v>80</v>
      </c>
      <c r="G246" s="72"/>
      <c r="H246" s="72" t="s">
        <v>442</v>
      </c>
      <c r="I246" s="71"/>
      <c r="J246" s="114"/>
      <c r="K246" s="114"/>
      <c r="L246" s="114"/>
      <c r="M246" s="47"/>
      <c r="N246" s="44">
        <v>0.96</v>
      </c>
      <c r="O246" s="16">
        <v>4</v>
      </c>
      <c r="P246" s="16">
        <v>0</v>
      </c>
      <c r="Q246" s="16">
        <v>0</v>
      </c>
      <c r="R246" s="16">
        <v>1</v>
      </c>
      <c r="S246" s="16" t="s">
        <v>88</v>
      </c>
      <c r="T246" s="16" t="s">
        <v>88</v>
      </c>
      <c r="U246" s="16" t="s">
        <v>88</v>
      </c>
      <c r="V246" s="16" t="s">
        <v>88</v>
      </c>
      <c r="W246" s="16" t="s">
        <v>88</v>
      </c>
      <c r="X246" s="16" t="s">
        <v>88</v>
      </c>
      <c r="Y246" s="16" t="s">
        <v>88</v>
      </c>
      <c r="Z246" s="16" t="s">
        <v>88</v>
      </c>
      <c r="AA246" s="16" t="s">
        <v>88</v>
      </c>
      <c r="AB246" s="16" t="s">
        <v>88</v>
      </c>
      <c r="AC246" s="16">
        <v>8</v>
      </c>
      <c r="AD246" s="16">
        <v>0</v>
      </c>
      <c r="AE246" s="16" t="s">
        <v>540</v>
      </c>
      <c r="AF246" s="16" t="s">
        <v>76</v>
      </c>
      <c r="AG246" s="49" t="s">
        <v>88</v>
      </c>
      <c r="AH246" s="46" t="s">
        <v>88</v>
      </c>
      <c r="AI246" s="46" t="s">
        <v>88</v>
      </c>
      <c r="AJ246" s="46" t="s">
        <v>88</v>
      </c>
      <c r="AK246" s="16">
        <v>1</v>
      </c>
      <c r="AL246" s="16">
        <v>1</v>
      </c>
      <c r="AM246" s="16">
        <v>1</v>
      </c>
      <c r="AN246" s="16">
        <v>1</v>
      </c>
      <c r="AO246" s="16" t="s">
        <v>76</v>
      </c>
      <c r="AP246" s="16">
        <v>2</v>
      </c>
      <c r="AQ246" s="16">
        <v>1</v>
      </c>
      <c r="AR246" s="16">
        <v>1</v>
      </c>
      <c r="AS246" s="16">
        <v>1</v>
      </c>
      <c r="AT246" s="16">
        <v>1</v>
      </c>
      <c r="AU246" s="16">
        <v>1</v>
      </c>
      <c r="AV246" s="16">
        <v>1</v>
      </c>
      <c r="AW246" s="16">
        <v>1</v>
      </c>
      <c r="AX246" s="16">
        <v>1</v>
      </c>
      <c r="AY246" s="122"/>
      <c r="AZ246" s="49"/>
      <c r="BA246" s="122"/>
      <c r="BB246" s="116"/>
      <c r="BC246" s="116"/>
      <c r="BD246" s="86" t="str">
        <f t="shared" ref="BD246" si="70">IF(N246&gt;60%,"YES","No")</f>
        <v>YES</v>
      </c>
    </row>
    <row r="247" spans="1:67" ht="15" customHeight="1" x14ac:dyDescent="0.6">
      <c r="A247" s="84">
        <v>5</v>
      </c>
      <c r="B247" s="89">
        <v>141520.00099999999</v>
      </c>
      <c r="C247" s="89" t="s">
        <v>444</v>
      </c>
      <c r="D247" s="1" t="s">
        <v>85</v>
      </c>
      <c r="E247" s="126"/>
      <c r="F247" s="71" t="s">
        <v>445</v>
      </c>
      <c r="G247" s="72"/>
      <c r="H247" s="72" t="s">
        <v>442</v>
      </c>
      <c r="I247" s="71"/>
      <c r="J247" s="114"/>
      <c r="K247" s="114"/>
      <c r="L247" s="114"/>
      <c r="M247" s="47"/>
      <c r="N247" s="53">
        <v>0</v>
      </c>
      <c r="O247" s="16"/>
      <c r="P247" s="16"/>
      <c r="Q247" s="16"/>
      <c r="R247" s="16"/>
      <c r="S247" s="16" t="s">
        <v>88</v>
      </c>
      <c r="T247" s="16" t="s">
        <v>88</v>
      </c>
      <c r="U247" s="16" t="s">
        <v>88</v>
      </c>
      <c r="V247" s="16" t="s">
        <v>88</v>
      </c>
      <c r="W247" s="16" t="s">
        <v>88</v>
      </c>
      <c r="X247" s="16" t="s">
        <v>88</v>
      </c>
      <c r="Y247" s="16"/>
      <c r="Z247" s="16"/>
      <c r="AA247" s="16"/>
      <c r="AB247" s="16"/>
      <c r="AC247" s="16"/>
      <c r="AD247" s="16"/>
      <c r="AE247" s="16"/>
      <c r="AF247" s="16"/>
      <c r="AG247" s="49"/>
      <c r="AH247" s="16"/>
      <c r="AI247" s="46" t="s">
        <v>88</v>
      </c>
      <c r="AJ247" s="46" t="s">
        <v>88</v>
      </c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22"/>
      <c r="AZ247" s="49"/>
      <c r="BA247" s="122"/>
      <c r="BB247" s="116"/>
      <c r="BC247" s="116"/>
      <c r="BD247" s="86"/>
    </row>
    <row r="248" spans="1:67" ht="15.6" x14ac:dyDescent="0.6">
      <c r="A248" s="84">
        <v>6</v>
      </c>
      <c r="B248" s="89">
        <v>141254</v>
      </c>
      <c r="C248" s="89" t="s">
        <v>446</v>
      </c>
      <c r="D248" s="126" t="s">
        <v>85</v>
      </c>
      <c r="E248" s="72"/>
      <c r="F248" s="71" t="s">
        <v>80</v>
      </c>
      <c r="G248" s="72"/>
      <c r="H248" s="72" t="s">
        <v>447</v>
      </c>
      <c r="I248" s="71"/>
      <c r="J248" s="114"/>
      <c r="K248" s="114"/>
      <c r="L248" s="114"/>
      <c r="M248" s="47"/>
      <c r="N248" s="44">
        <v>0.97</v>
      </c>
      <c r="O248" s="16">
        <v>4</v>
      </c>
      <c r="P248" s="16">
        <v>3</v>
      </c>
      <c r="Q248" s="16">
        <v>4</v>
      </c>
      <c r="R248" s="16">
        <v>6</v>
      </c>
      <c r="S248" s="16" t="s">
        <v>88</v>
      </c>
      <c r="T248" s="16" t="s">
        <v>88</v>
      </c>
      <c r="U248" s="16" t="s">
        <v>88</v>
      </c>
      <c r="V248" s="16" t="s">
        <v>88</v>
      </c>
      <c r="W248" s="16" t="s">
        <v>88</v>
      </c>
      <c r="X248" s="16" t="s">
        <v>88</v>
      </c>
      <c r="Y248" s="16">
        <v>1</v>
      </c>
      <c r="Z248" s="16">
        <v>0.42</v>
      </c>
      <c r="AA248" s="46">
        <f>(Y248-Z248)/Y248</f>
        <v>0.58000000000000007</v>
      </c>
      <c r="AB248" s="16" t="s">
        <v>85</v>
      </c>
      <c r="AC248" s="16">
        <v>13</v>
      </c>
      <c r="AD248" s="16">
        <v>0</v>
      </c>
      <c r="AE248" s="16" t="s">
        <v>539</v>
      </c>
      <c r="AF248" s="16" t="s">
        <v>76</v>
      </c>
      <c r="AG248" s="167">
        <v>0.25</v>
      </c>
      <c r="AH248" s="16" t="s">
        <v>76</v>
      </c>
      <c r="AI248" s="46" t="s">
        <v>88</v>
      </c>
      <c r="AJ248" s="46" t="s">
        <v>88</v>
      </c>
      <c r="AK248" s="16">
        <v>5</v>
      </c>
      <c r="AL248" s="16">
        <v>1</v>
      </c>
      <c r="AM248" s="16">
        <v>3</v>
      </c>
      <c r="AN248" s="16">
        <v>1</v>
      </c>
      <c r="AO248" s="16" t="s">
        <v>85</v>
      </c>
      <c r="AP248" s="16">
        <v>3</v>
      </c>
      <c r="AQ248" s="16">
        <v>1</v>
      </c>
      <c r="AR248" s="16">
        <v>2</v>
      </c>
      <c r="AS248" s="16">
        <v>1</v>
      </c>
      <c r="AT248" s="16">
        <v>1</v>
      </c>
      <c r="AU248" s="16">
        <v>1</v>
      </c>
      <c r="AV248" s="16">
        <v>1</v>
      </c>
      <c r="AW248" s="16">
        <v>1</v>
      </c>
      <c r="AX248" s="16">
        <v>1</v>
      </c>
      <c r="AY248" s="85" t="e">
        <f>O248+P248+Q248+R248+AC248+AD248+AF248+AK248+AL248+AM248+AN248+AP248+AR248+AS248+AT248+AU248+AV248+AW248+AX248</f>
        <v>#VALUE!</v>
      </c>
      <c r="AZ248" s="46" t="e">
        <f t="shared" ref="AZ248" si="71">AY248/55</f>
        <v>#VALUE!</v>
      </c>
      <c r="BA248" s="85" t="s">
        <v>89</v>
      </c>
      <c r="BB248" s="116"/>
      <c r="BC248" s="116"/>
      <c r="BD248" s="86" t="str">
        <f t="shared" si="66"/>
        <v>YES</v>
      </c>
      <c r="BE248" s="76" t="str">
        <f t="shared" si="67"/>
        <v>Mr Cooper  - Last report is this year</v>
      </c>
      <c r="BF248" s="87" t="str">
        <f>H248</f>
        <v>Amber Wernik / Caroline</v>
      </c>
      <c r="BG248" s="87" t="e">
        <f t="shared" si="68"/>
        <v>#VALUE!</v>
      </c>
    </row>
    <row r="249" spans="1:67" ht="15" customHeight="1" x14ac:dyDescent="0.6">
      <c r="A249" s="84">
        <v>7</v>
      </c>
      <c r="B249" s="89">
        <v>820990.00699999998</v>
      </c>
      <c r="C249" s="89" t="s">
        <v>534</v>
      </c>
      <c r="D249" s="1" t="s">
        <v>85</v>
      </c>
      <c r="E249" s="126"/>
      <c r="F249" s="71" t="s">
        <v>80</v>
      </c>
      <c r="G249" s="72"/>
      <c r="H249" s="72" t="s">
        <v>448</v>
      </c>
      <c r="I249" s="71"/>
      <c r="J249" s="114"/>
      <c r="K249" s="114"/>
      <c r="L249" s="114"/>
      <c r="M249" s="47"/>
      <c r="N249" s="44">
        <v>0.64</v>
      </c>
      <c r="O249" s="16">
        <v>4</v>
      </c>
      <c r="P249" s="16">
        <v>4</v>
      </c>
      <c r="Q249" s="16">
        <v>4</v>
      </c>
      <c r="R249" s="16">
        <v>6</v>
      </c>
      <c r="S249" s="16" t="s">
        <v>88</v>
      </c>
      <c r="T249" s="16" t="s">
        <v>88</v>
      </c>
      <c r="U249" s="16" t="s">
        <v>88</v>
      </c>
      <c r="V249" s="16" t="s">
        <v>88</v>
      </c>
      <c r="W249" s="16" t="s">
        <v>88</v>
      </c>
      <c r="X249" s="16" t="s">
        <v>88</v>
      </c>
      <c r="Y249" s="16" t="s">
        <v>114</v>
      </c>
      <c r="Z249" s="16" t="s">
        <v>114</v>
      </c>
      <c r="AA249" s="16" t="s">
        <v>114</v>
      </c>
      <c r="AB249" s="16" t="s">
        <v>114</v>
      </c>
      <c r="AC249" s="16">
        <v>1</v>
      </c>
      <c r="AD249" s="16">
        <v>0</v>
      </c>
      <c r="AE249" s="16" t="s">
        <v>540</v>
      </c>
      <c r="AF249" s="16" t="s">
        <v>76</v>
      </c>
      <c r="AG249" s="49" t="s">
        <v>88</v>
      </c>
      <c r="AH249" s="46" t="s">
        <v>88</v>
      </c>
      <c r="AI249" s="46" t="s">
        <v>88</v>
      </c>
      <c r="AJ249" s="46" t="s">
        <v>88</v>
      </c>
      <c r="AK249" s="16">
        <v>0</v>
      </c>
      <c r="AL249" s="16">
        <v>1</v>
      </c>
      <c r="AM249" s="16">
        <v>0</v>
      </c>
      <c r="AN249" s="16">
        <v>0</v>
      </c>
      <c r="AO249" s="16" t="s">
        <v>76</v>
      </c>
      <c r="AP249" s="16">
        <v>0</v>
      </c>
      <c r="AQ249" s="16">
        <v>0</v>
      </c>
      <c r="AR249" s="16">
        <v>0</v>
      </c>
      <c r="AS249" s="16">
        <v>0</v>
      </c>
      <c r="AT249" s="16">
        <v>0</v>
      </c>
      <c r="AU249" s="16">
        <v>0</v>
      </c>
      <c r="AV249" s="16">
        <v>0</v>
      </c>
      <c r="AW249" s="16">
        <v>0</v>
      </c>
      <c r="AX249" s="16">
        <v>0</v>
      </c>
      <c r="AY249" s="122"/>
      <c r="AZ249" s="49"/>
      <c r="BA249" s="122"/>
      <c r="BB249" s="116"/>
      <c r="BC249" s="116"/>
      <c r="BD249" s="86"/>
    </row>
    <row r="250" spans="1:67" ht="15.6" x14ac:dyDescent="0.6">
      <c r="A250" s="84"/>
      <c r="B250" s="84">
        <v>141260</v>
      </c>
      <c r="C250" s="84" t="s">
        <v>449</v>
      </c>
      <c r="D250" s="126" t="s">
        <v>85</v>
      </c>
      <c r="E250" s="72"/>
      <c r="F250" s="71" t="s">
        <v>80</v>
      </c>
      <c r="G250" s="72"/>
      <c r="H250" s="72" t="s">
        <v>442</v>
      </c>
      <c r="I250" s="71"/>
      <c r="J250" s="114"/>
      <c r="K250" s="114"/>
      <c r="L250" s="114"/>
      <c r="M250" s="47"/>
      <c r="N250" s="53">
        <v>0</v>
      </c>
      <c r="O250" s="16"/>
      <c r="P250" s="16"/>
      <c r="Q250" s="16"/>
      <c r="R250" s="16"/>
      <c r="S250" s="16"/>
      <c r="T250" s="16"/>
      <c r="U250" s="16"/>
      <c r="V250" s="16"/>
      <c r="W250" s="46"/>
      <c r="X250" s="16"/>
      <c r="Y250" s="16"/>
      <c r="Z250" s="16"/>
      <c r="AA250" s="16"/>
      <c r="AB250" s="16"/>
      <c r="AC250" s="16"/>
      <c r="AD250" s="16"/>
      <c r="AE250" s="16"/>
      <c r="AF250" s="16"/>
      <c r="AG250" s="4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85"/>
      <c r="AZ250" s="46"/>
      <c r="BA250" s="85"/>
      <c r="BB250" s="116"/>
      <c r="BC250" s="116"/>
      <c r="BD250" s="86"/>
      <c r="BF250" s="87"/>
      <c r="BG250" s="87"/>
    </row>
    <row r="251" spans="1:67" ht="15.6" x14ac:dyDescent="0.6">
      <c r="A251" s="84"/>
      <c r="B251" s="84">
        <v>141248.00099999999</v>
      </c>
      <c r="C251" s="84" t="s">
        <v>450</v>
      </c>
      <c r="D251" s="126" t="s">
        <v>85</v>
      </c>
      <c r="E251" s="72"/>
      <c r="F251" s="71" t="s">
        <v>80</v>
      </c>
      <c r="G251" s="72"/>
      <c r="H251" s="72" t="s">
        <v>442</v>
      </c>
      <c r="I251" s="71"/>
      <c r="J251" s="114"/>
      <c r="K251" s="114"/>
      <c r="L251" s="114"/>
      <c r="M251" s="47"/>
      <c r="N251" s="53">
        <v>0</v>
      </c>
      <c r="O251" s="16"/>
      <c r="P251" s="16"/>
      <c r="Q251" s="16"/>
      <c r="R251" s="16"/>
      <c r="S251" s="16"/>
      <c r="T251" s="16"/>
      <c r="U251" s="16"/>
      <c r="V251" s="16"/>
      <c r="W251" s="49"/>
      <c r="X251" s="16"/>
      <c r="Y251" s="16"/>
      <c r="Z251" s="16"/>
      <c r="AA251" s="16"/>
      <c r="AB251" s="16"/>
      <c r="AC251" s="16"/>
      <c r="AD251" s="16"/>
      <c r="AE251" s="16"/>
      <c r="AF251" s="16"/>
      <c r="AG251" s="49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22"/>
      <c r="AZ251" s="49"/>
      <c r="BA251" s="122"/>
      <c r="BB251" s="116"/>
      <c r="BC251" s="116"/>
      <c r="BD251" s="86"/>
    </row>
    <row r="252" spans="1:67" ht="15.6" x14ac:dyDescent="0.6">
      <c r="A252" s="84"/>
      <c r="B252" s="84">
        <v>141234</v>
      </c>
      <c r="C252" s="76" t="s">
        <v>466</v>
      </c>
      <c r="D252" s="1" t="s">
        <v>316</v>
      </c>
      <c r="E252" s="128"/>
      <c r="F252" s="28" t="s">
        <v>1</v>
      </c>
      <c r="H252" s="72" t="s">
        <v>439</v>
      </c>
      <c r="N252" s="53">
        <v>0</v>
      </c>
      <c r="O252" s="120"/>
      <c r="P252" s="120"/>
      <c r="Q252" s="120"/>
      <c r="R252" s="120"/>
      <c r="S252" s="120"/>
      <c r="W252" s="120"/>
      <c r="X252" s="120"/>
      <c r="AI252" s="129"/>
      <c r="AJ252" s="129"/>
      <c r="AK252" s="129"/>
      <c r="AZ252" s="46">
        <f t="shared" ref="AZ252" si="72">AY252/55</f>
        <v>0</v>
      </c>
      <c r="BD252" s="86" t="str">
        <f t="shared" ref="BD252" si="73">IF(N252&gt;60%,"YES","No")</f>
        <v>No</v>
      </c>
      <c r="BE252" s="76" t="str">
        <f t="shared" ref="BE252" si="74">C252</f>
        <v>Hockaday Student Center - On Hold</v>
      </c>
      <c r="BF252" s="87" t="str">
        <f>H252</f>
        <v>Koko Nomura</v>
      </c>
      <c r="BG252" s="87" t="str">
        <f t="shared" ref="BG252" si="75">IF(AZ252&gt;65%,"No need to contact","need to contact")</f>
        <v>need to contact</v>
      </c>
    </row>
    <row r="253" spans="1:67" ht="15" customHeight="1" x14ac:dyDescent="0.6">
      <c r="A253" s="84"/>
      <c r="C253" s="84"/>
      <c r="D253" s="1"/>
      <c r="E253" s="72"/>
      <c r="F253" s="71"/>
      <c r="G253" s="72"/>
      <c r="H253" s="72"/>
      <c r="I253" s="71"/>
      <c r="J253" s="114"/>
      <c r="K253" s="114"/>
      <c r="L253" s="114"/>
      <c r="M253" s="47"/>
      <c r="N253" s="44"/>
      <c r="O253" s="16"/>
      <c r="P253" s="16"/>
      <c r="Q253" s="16"/>
      <c r="R253" s="16"/>
      <c r="S253" s="16"/>
      <c r="T253" s="16"/>
      <c r="U253" s="16"/>
      <c r="V253" s="16"/>
      <c r="W253" s="49"/>
      <c r="X253" s="16"/>
      <c r="Y253" s="16"/>
      <c r="Z253" s="16"/>
      <c r="AA253" s="16"/>
      <c r="AB253" s="16"/>
      <c r="AC253" s="16"/>
      <c r="AD253" s="16"/>
      <c r="AE253" s="16"/>
      <c r="AF253" s="16"/>
      <c r="AG253" s="49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22"/>
      <c r="AZ253" s="49"/>
      <c r="BA253" s="122"/>
      <c r="BB253" s="116"/>
      <c r="BC253" s="116"/>
      <c r="BD253" s="86"/>
    </row>
    <row r="254" spans="1:67" ht="15" customHeight="1" x14ac:dyDescent="0.6">
      <c r="A254" s="84"/>
      <c r="C254" s="84"/>
      <c r="D254" s="1"/>
      <c r="E254" s="72"/>
      <c r="F254" s="71"/>
      <c r="G254" s="72"/>
      <c r="H254" s="72"/>
      <c r="I254" s="71"/>
      <c r="J254" s="114"/>
      <c r="K254" s="114"/>
      <c r="L254" s="114"/>
      <c r="M254" s="47"/>
      <c r="N254" s="44"/>
      <c r="O254" s="16"/>
      <c r="P254" s="16"/>
      <c r="Q254" s="16"/>
      <c r="R254" s="16"/>
      <c r="S254" s="16"/>
      <c r="T254" s="16"/>
      <c r="U254" s="16"/>
      <c r="V254" s="16"/>
      <c r="W254" s="49"/>
      <c r="X254" s="16"/>
      <c r="Y254" s="16"/>
      <c r="Z254" s="16"/>
      <c r="AA254" s="16"/>
      <c r="AB254" s="16"/>
      <c r="AC254" s="16"/>
      <c r="AD254" s="16"/>
      <c r="AE254" s="16"/>
      <c r="AF254" s="16"/>
      <c r="AG254" s="49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22"/>
      <c r="AZ254" s="49"/>
      <c r="BA254" s="122"/>
      <c r="BB254" s="116"/>
      <c r="BC254" s="116"/>
      <c r="BD254" s="86"/>
    </row>
    <row r="255" spans="1:67" ht="15" customHeight="1" x14ac:dyDescent="0.6">
      <c r="A255" s="84"/>
      <c r="B255" s="84">
        <v>141523</v>
      </c>
      <c r="C255" s="84" t="s">
        <v>530</v>
      </c>
      <c r="D255" s="28" t="s">
        <v>552</v>
      </c>
      <c r="E255" s="72" t="s">
        <v>448</v>
      </c>
      <c r="F255" s="71" t="s">
        <v>531</v>
      </c>
      <c r="G255" s="72"/>
      <c r="H255" s="72" t="s">
        <v>448</v>
      </c>
      <c r="I255" s="71"/>
      <c r="J255" s="114"/>
      <c r="K255" s="114"/>
      <c r="L255" s="114"/>
      <c r="M255" s="47"/>
      <c r="N255" s="44"/>
      <c r="O255" s="16"/>
      <c r="P255" s="16"/>
      <c r="Q255" s="16"/>
      <c r="R255" s="16"/>
      <c r="S255" s="16"/>
      <c r="T255" s="16"/>
      <c r="U255" s="16"/>
      <c r="V255" s="16"/>
      <c r="W255" s="49"/>
      <c r="X255" s="16"/>
      <c r="Y255" s="16"/>
      <c r="Z255" s="16"/>
      <c r="AA255" s="16"/>
      <c r="AB255" s="16"/>
      <c r="AC255" s="16"/>
      <c r="AD255" s="16"/>
      <c r="AE255" s="16"/>
      <c r="AF255" s="16"/>
      <c r="AG255" s="49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22"/>
      <c r="AZ255" s="49"/>
      <c r="BA255" s="122"/>
      <c r="BB255" s="116"/>
      <c r="BC255" s="116"/>
      <c r="BD255" s="86"/>
    </row>
    <row r="256" spans="1:67" ht="15.6" x14ac:dyDescent="0.6">
      <c r="A256" s="84"/>
      <c r="B256" s="84">
        <v>141257</v>
      </c>
      <c r="C256" s="84" t="s">
        <v>451</v>
      </c>
      <c r="D256" s="127" t="s">
        <v>76</v>
      </c>
      <c r="E256" s="72"/>
      <c r="F256" s="71" t="s">
        <v>452</v>
      </c>
      <c r="G256" s="72"/>
      <c r="H256" s="72" t="s">
        <v>453</v>
      </c>
      <c r="I256" s="71"/>
      <c r="J256" s="114"/>
      <c r="K256" s="114"/>
      <c r="L256" s="114"/>
      <c r="M256" s="47"/>
      <c r="N256" s="44"/>
      <c r="O256" s="16"/>
      <c r="P256" s="16"/>
      <c r="Q256" s="16"/>
      <c r="R256" s="16"/>
      <c r="S256" s="16"/>
      <c r="T256" s="16"/>
      <c r="U256" s="16"/>
      <c r="V256" s="16"/>
      <c r="W256" s="46"/>
      <c r="X256" s="16"/>
      <c r="Y256" s="16"/>
      <c r="Z256" s="16"/>
      <c r="AA256" s="16"/>
      <c r="AB256" s="16"/>
      <c r="AC256" s="16"/>
      <c r="AD256" s="16"/>
      <c r="AE256" s="16"/>
      <c r="AF256" s="16"/>
      <c r="AG256" s="4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85"/>
      <c r="AZ256" s="46"/>
      <c r="BA256" s="85"/>
      <c r="BB256" s="116"/>
      <c r="BC256" s="116"/>
      <c r="BD256" s="86" t="str">
        <f>IF(N256&gt;60%,"YES","No")</f>
        <v>No</v>
      </c>
      <c r="BE256" s="76" t="str">
        <f>C256</f>
        <v>Divcon Controls Reno (a little more than a Test Fit)</v>
      </c>
      <c r="BF256" s="87"/>
      <c r="BG256" s="87"/>
    </row>
    <row r="257" spans="1:58" ht="15.6" x14ac:dyDescent="0.6">
      <c r="A257" s="84"/>
      <c r="B257" s="84">
        <v>141246</v>
      </c>
      <c r="C257" s="84" t="s">
        <v>454</v>
      </c>
      <c r="D257" s="127" t="s">
        <v>76</v>
      </c>
      <c r="E257" s="126"/>
      <c r="F257" s="71" t="s">
        <v>407</v>
      </c>
      <c r="G257" s="72"/>
      <c r="H257" s="72" t="s">
        <v>455</v>
      </c>
      <c r="I257" s="71"/>
      <c r="J257" s="114"/>
      <c r="K257" s="114"/>
      <c r="L257" s="114"/>
      <c r="M257" s="47"/>
      <c r="N257" s="44"/>
      <c r="O257" s="16"/>
      <c r="P257" s="16"/>
      <c r="Q257" s="16"/>
      <c r="R257" s="16"/>
      <c r="S257" s="16"/>
      <c r="T257" s="16"/>
      <c r="U257" s="16"/>
      <c r="V257" s="16"/>
      <c r="W257" s="49"/>
      <c r="X257" s="16"/>
      <c r="Y257" s="16"/>
      <c r="Z257" s="16"/>
      <c r="AA257" s="16"/>
      <c r="AB257" s="16"/>
      <c r="AC257" s="16"/>
      <c r="AD257" s="16"/>
      <c r="AE257" s="16"/>
      <c r="AF257" s="16"/>
      <c r="AG257" s="49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22"/>
      <c r="AZ257" s="49"/>
      <c r="BA257" s="122"/>
      <c r="BB257" s="116"/>
      <c r="BC257" s="116"/>
      <c r="BD257" s="86" t="str">
        <f t="shared" si="66"/>
        <v>No</v>
      </c>
    </row>
    <row r="258" spans="1:58" ht="15.6" x14ac:dyDescent="0.6">
      <c r="A258" s="84"/>
      <c r="B258" s="84">
        <v>141256</v>
      </c>
      <c r="C258" s="84" t="s">
        <v>456</v>
      </c>
      <c r="D258" s="127" t="s">
        <v>76</v>
      </c>
      <c r="E258" s="126"/>
      <c r="F258" s="71" t="s">
        <v>407</v>
      </c>
      <c r="G258" s="72"/>
      <c r="H258" s="72" t="s">
        <v>455</v>
      </c>
      <c r="I258" s="71"/>
      <c r="J258" s="114"/>
      <c r="K258" s="114"/>
      <c r="L258" s="114"/>
      <c r="M258" s="47"/>
      <c r="N258" s="44"/>
      <c r="O258" s="16"/>
      <c r="P258" s="16"/>
      <c r="Q258" s="16"/>
      <c r="R258" s="16"/>
      <c r="S258" s="16"/>
      <c r="T258" s="16"/>
      <c r="U258" s="16"/>
      <c r="V258" s="16"/>
      <c r="W258" s="49"/>
      <c r="X258" s="16"/>
      <c r="Y258" s="16"/>
      <c r="Z258" s="16"/>
      <c r="AA258" s="16"/>
      <c r="AB258" s="16"/>
      <c r="AC258" s="16"/>
      <c r="AD258" s="16"/>
      <c r="AE258" s="16"/>
      <c r="AF258" s="16"/>
      <c r="AG258" s="49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22"/>
      <c r="AZ258" s="49"/>
      <c r="BA258" s="122"/>
      <c r="BB258" s="116"/>
      <c r="BC258" s="116"/>
      <c r="BD258" s="86" t="str">
        <f t="shared" si="66"/>
        <v>No</v>
      </c>
    </row>
    <row r="259" spans="1:58" ht="15.6" x14ac:dyDescent="0.6">
      <c r="A259" s="84"/>
      <c r="B259" s="84">
        <v>141258</v>
      </c>
      <c r="C259" s="84" t="s">
        <v>457</v>
      </c>
      <c r="D259" s="127" t="s">
        <v>82</v>
      </c>
      <c r="E259" s="126"/>
      <c r="F259" s="71"/>
      <c r="G259" s="72"/>
      <c r="H259" s="72" t="s">
        <v>455</v>
      </c>
      <c r="I259" s="71"/>
      <c r="J259" s="114"/>
      <c r="K259" s="114"/>
      <c r="L259" s="114"/>
      <c r="M259" s="47"/>
      <c r="N259" s="44"/>
      <c r="O259" s="16"/>
      <c r="P259" s="16"/>
      <c r="Q259" s="16"/>
      <c r="R259" s="16"/>
      <c r="S259" s="16"/>
      <c r="T259" s="16"/>
      <c r="U259" s="16"/>
      <c r="V259" s="16"/>
      <c r="W259" s="49"/>
      <c r="X259" s="16"/>
      <c r="Y259" s="16"/>
      <c r="Z259" s="16"/>
      <c r="AA259" s="16"/>
      <c r="AB259" s="16"/>
      <c r="AC259" s="16"/>
      <c r="AD259" s="16"/>
      <c r="AE259" s="16"/>
      <c r="AF259" s="16"/>
      <c r="AG259" s="49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22"/>
      <c r="AZ259" s="49"/>
      <c r="BA259" s="122"/>
      <c r="BB259" s="116"/>
      <c r="BC259" s="116"/>
      <c r="BD259" s="86"/>
    </row>
    <row r="260" spans="1:58" ht="15.6" x14ac:dyDescent="0.6">
      <c r="A260" s="84"/>
      <c r="B260" s="84">
        <v>141516</v>
      </c>
      <c r="C260" s="84" t="s">
        <v>458</v>
      </c>
      <c r="D260" s="127" t="s">
        <v>76</v>
      </c>
      <c r="E260" s="72"/>
      <c r="F260" s="71" t="s">
        <v>459</v>
      </c>
      <c r="G260" s="72"/>
      <c r="H260" s="72" t="s">
        <v>448</v>
      </c>
      <c r="I260" s="71"/>
      <c r="J260" s="114"/>
      <c r="K260" s="114"/>
      <c r="L260" s="114"/>
      <c r="M260" s="47"/>
      <c r="N260" s="44"/>
      <c r="O260" s="16"/>
      <c r="P260" s="16"/>
      <c r="Q260" s="16"/>
      <c r="R260" s="16"/>
      <c r="S260" s="16"/>
      <c r="T260" s="16"/>
      <c r="U260" s="16"/>
      <c r="V260" s="16"/>
      <c r="W260" s="49"/>
      <c r="X260" s="16"/>
      <c r="Y260" s="16"/>
      <c r="Z260" s="16"/>
      <c r="AA260" s="16"/>
      <c r="AB260" s="16"/>
      <c r="AC260" s="16"/>
      <c r="AD260" s="16"/>
      <c r="AE260" s="16"/>
      <c r="AF260" s="16"/>
      <c r="AG260" s="49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22"/>
      <c r="AZ260" s="49"/>
      <c r="BA260" s="122"/>
      <c r="BB260" s="116"/>
      <c r="BC260" s="116"/>
      <c r="BD260" s="86" t="str">
        <f t="shared" si="66"/>
        <v>No</v>
      </c>
    </row>
    <row r="261" spans="1:58" ht="15" customHeight="1" x14ac:dyDescent="0.6">
      <c r="A261" s="84"/>
      <c r="B261" s="84">
        <v>141255</v>
      </c>
      <c r="C261" s="84" t="s">
        <v>460</v>
      </c>
      <c r="D261" s="127" t="s">
        <v>76</v>
      </c>
      <c r="E261" s="72"/>
      <c r="F261" s="101" t="s">
        <v>461</v>
      </c>
      <c r="G261" s="72"/>
      <c r="H261" s="72" t="s">
        <v>462</v>
      </c>
      <c r="I261" s="71"/>
      <c r="J261" s="114"/>
      <c r="K261" s="114"/>
      <c r="L261" s="114"/>
      <c r="M261" s="47"/>
      <c r="N261" s="47"/>
      <c r="O261" s="16"/>
      <c r="P261" s="16"/>
      <c r="Q261" s="16"/>
      <c r="R261" s="16"/>
      <c r="S261" s="16"/>
      <c r="T261" s="16"/>
      <c r="U261" s="16"/>
      <c r="V261" s="16"/>
      <c r="W261" s="49"/>
      <c r="X261" s="16"/>
      <c r="Y261" s="16"/>
      <c r="Z261" s="16"/>
      <c r="AA261" s="16"/>
      <c r="AB261" s="16"/>
      <c r="AC261" s="16"/>
      <c r="AD261" s="16"/>
      <c r="AE261" s="16"/>
      <c r="AF261" s="16"/>
      <c r="AG261" s="49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22"/>
      <c r="AZ261" s="49"/>
      <c r="BA261" s="122"/>
      <c r="BB261" s="116"/>
      <c r="BC261" s="116"/>
      <c r="BD261" s="86"/>
    </row>
    <row r="262" spans="1:58" ht="15" customHeight="1" x14ac:dyDescent="0.6">
      <c r="A262" s="84"/>
      <c r="B262" s="84">
        <v>820990.00800000003</v>
      </c>
      <c r="C262" s="84" t="s">
        <v>463</v>
      </c>
      <c r="D262" s="28" t="s">
        <v>76</v>
      </c>
      <c r="E262" s="126"/>
      <c r="F262" s="113"/>
      <c r="G262" s="72"/>
      <c r="H262" s="72" t="s">
        <v>448</v>
      </c>
      <c r="I262" s="71"/>
      <c r="J262" s="114"/>
      <c r="K262" s="114"/>
      <c r="L262" s="114"/>
      <c r="M262" s="47"/>
      <c r="N262" s="47"/>
      <c r="O262" s="16"/>
      <c r="P262" s="16"/>
      <c r="Q262" s="16"/>
      <c r="R262" s="16"/>
      <c r="S262" s="16"/>
      <c r="T262" s="16"/>
      <c r="U262" s="16"/>
      <c r="V262" s="16"/>
      <c r="W262" s="49"/>
      <c r="X262" s="16"/>
      <c r="Y262" s="16"/>
      <c r="Z262" s="16"/>
      <c r="AA262" s="16"/>
      <c r="AB262" s="16"/>
      <c r="AC262" s="16"/>
      <c r="AD262" s="16"/>
      <c r="AE262" s="16"/>
      <c r="AF262" s="16"/>
      <c r="AG262" s="49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22"/>
      <c r="AZ262" s="49"/>
      <c r="BA262" s="122"/>
      <c r="BB262" s="116"/>
      <c r="BC262" s="116"/>
      <c r="BD262" s="86"/>
    </row>
    <row r="263" spans="1:58" ht="15" customHeight="1" x14ac:dyDescent="0.6">
      <c r="A263" s="84"/>
      <c r="B263" s="84">
        <v>820991.005</v>
      </c>
      <c r="C263" s="84" t="s">
        <v>464</v>
      </c>
      <c r="D263" s="28" t="s">
        <v>76</v>
      </c>
      <c r="E263" s="126"/>
      <c r="F263" s="113"/>
      <c r="G263" s="72"/>
      <c r="H263" s="72" t="s">
        <v>448</v>
      </c>
      <c r="I263" s="71"/>
      <c r="J263" s="114"/>
      <c r="K263" s="114"/>
      <c r="L263" s="114"/>
      <c r="M263" s="47"/>
      <c r="N263" s="47"/>
      <c r="O263" s="16"/>
      <c r="P263" s="16"/>
      <c r="Q263" s="16"/>
      <c r="R263" s="16"/>
      <c r="S263" s="16"/>
      <c r="T263" s="16"/>
      <c r="U263" s="16"/>
      <c r="V263" s="16"/>
      <c r="W263" s="49"/>
      <c r="X263" s="16"/>
      <c r="Y263" s="16"/>
      <c r="Z263" s="16"/>
      <c r="AA263" s="16"/>
      <c r="AB263" s="16"/>
      <c r="AC263" s="16"/>
      <c r="AD263" s="16"/>
      <c r="AE263" s="16"/>
      <c r="AF263" s="16"/>
      <c r="AG263" s="49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22"/>
      <c r="AZ263" s="49"/>
      <c r="BA263" s="122"/>
      <c r="BB263" s="116"/>
      <c r="BC263" s="116"/>
      <c r="BD263" s="86"/>
    </row>
    <row r="264" spans="1:58" ht="15" customHeight="1" x14ac:dyDescent="0.6">
      <c r="A264" s="84"/>
      <c r="B264" s="84">
        <v>820990.01399999997</v>
      </c>
      <c r="C264" s="84" t="s">
        <v>465</v>
      </c>
      <c r="D264" s="28" t="s">
        <v>76</v>
      </c>
      <c r="E264" s="126"/>
      <c r="F264" s="113"/>
      <c r="G264" s="72"/>
      <c r="H264" s="72" t="s">
        <v>448</v>
      </c>
      <c r="I264" s="71"/>
      <c r="J264" s="114"/>
      <c r="K264" s="114"/>
      <c r="L264" s="114"/>
      <c r="M264" s="47"/>
      <c r="N264" s="47"/>
      <c r="O264" s="16"/>
      <c r="P264" s="16"/>
      <c r="Q264" s="16"/>
      <c r="R264" s="16"/>
      <c r="S264" s="16"/>
      <c r="T264" s="16"/>
      <c r="U264" s="16"/>
      <c r="V264" s="16"/>
      <c r="W264" s="49"/>
      <c r="X264" s="16"/>
      <c r="Y264" s="16"/>
      <c r="Z264" s="16"/>
      <c r="AA264" s="16"/>
      <c r="AB264" s="16"/>
      <c r="AC264" s="16"/>
      <c r="AD264" s="16"/>
      <c r="AE264" s="16"/>
      <c r="AF264" s="16"/>
      <c r="AG264" s="49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22"/>
      <c r="AZ264" s="49"/>
      <c r="BA264" s="122"/>
      <c r="BB264" s="116"/>
      <c r="BC264" s="116"/>
      <c r="BD264" s="86"/>
    </row>
    <row r="265" spans="1:58" ht="15" customHeight="1" x14ac:dyDescent="0.6">
      <c r="AZ265" s="46">
        <f t="shared" si="65"/>
        <v>0</v>
      </c>
      <c r="BD265" s="86" t="str">
        <f t="shared" ref="BD265" si="76">IF(AZ265&gt;60%,"YES","No")</f>
        <v>No</v>
      </c>
      <c r="BE265" s="76">
        <f>C265</f>
        <v>0</v>
      </c>
      <c r="BF265" s="76">
        <f>H265</f>
        <v>0</v>
      </c>
    </row>
    <row r="266" spans="1:58" ht="76.5" customHeight="1" x14ac:dyDescent="0.6">
      <c r="B266" s="184" t="s">
        <v>467</v>
      </c>
      <c r="C266" s="184"/>
      <c r="D266" s="185"/>
      <c r="E266" s="185"/>
      <c r="F266" s="185"/>
      <c r="G266" s="185"/>
      <c r="H266" s="185"/>
      <c r="I266" s="185"/>
      <c r="J266" s="95"/>
      <c r="K266" s="96"/>
      <c r="L266" s="37"/>
      <c r="M266" s="38"/>
      <c r="N266" s="38"/>
      <c r="O266" s="98" t="s">
        <v>425</v>
      </c>
      <c r="P266" s="98" t="s">
        <v>468</v>
      </c>
      <c r="Q266" s="98" t="s">
        <v>469</v>
      </c>
      <c r="R266" s="98" t="s">
        <v>425</v>
      </c>
      <c r="S266" s="142" t="s">
        <v>161</v>
      </c>
      <c r="T266" s="39"/>
      <c r="U266" s="40"/>
      <c r="V266" s="142" t="s">
        <v>161</v>
      </c>
      <c r="W266" s="41"/>
      <c r="X266" s="142" t="s">
        <v>161</v>
      </c>
      <c r="Y266" s="96"/>
      <c r="Z266" s="96"/>
      <c r="AA266" s="96"/>
      <c r="AB266" s="98" t="s">
        <v>470</v>
      </c>
      <c r="AC266" s="98"/>
      <c r="AD266" s="142" t="s">
        <v>351</v>
      </c>
      <c r="AE266" s="142" t="s">
        <v>471</v>
      </c>
      <c r="AF266" s="37"/>
      <c r="AG266" s="41"/>
      <c r="AH266" s="98" t="s">
        <v>472</v>
      </c>
      <c r="AI266" s="42"/>
      <c r="AJ266" s="142" t="s">
        <v>161</v>
      </c>
      <c r="AK266" s="98"/>
      <c r="AL266" s="37"/>
      <c r="AM266" s="142" t="s">
        <v>473</v>
      </c>
      <c r="AN266" s="37"/>
      <c r="AO266" s="37"/>
      <c r="AP266" s="170"/>
      <c r="AQ266" s="42"/>
      <c r="AR266" s="37"/>
      <c r="AS266" s="37"/>
      <c r="AT266" s="97"/>
      <c r="AU266" s="97"/>
      <c r="AV266" s="97"/>
      <c r="AW266" s="97"/>
      <c r="AX266" s="142" t="s">
        <v>474</v>
      </c>
      <c r="AY266" s="99"/>
      <c r="AZ266" s="46"/>
      <c r="BA266" s="99"/>
      <c r="BB266" s="43"/>
      <c r="BC266" s="33"/>
    </row>
    <row r="267" spans="1:58" ht="15" customHeight="1" x14ac:dyDescent="0.6">
      <c r="X267" s="7"/>
      <c r="AB267" s="7"/>
      <c r="AC267" s="7"/>
      <c r="AZ267" s="46"/>
    </row>
    <row r="268" spans="1:58" ht="15" hidden="1" customHeight="1" x14ac:dyDescent="0.6">
      <c r="A268" s="84">
        <v>1</v>
      </c>
      <c r="B268" s="84">
        <v>141250</v>
      </c>
      <c r="C268" s="76" t="s">
        <v>475</v>
      </c>
      <c r="H268" s="84" t="s">
        <v>439</v>
      </c>
      <c r="AZ268" s="46">
        <f t="shared" si="65"/>
        <v>0</v>
      </c>
    </row>
    <row r="269" spans="1:58" ht="15.6" hidden="1" x14ac:dyDescent="0.6">
      <c r="A269" s="84">
        <v>2</v>
      </c>
      <c r="B269" s="84">
        <v>141251</v>
      </c>
      <c r="C269" s="84" t="s">
        <v>476</v>
      </c>
      <c r="D269" s="71"/>
      <c r="E269" s="72"/>
      <c r="F269" s="72"/>
      <c r="G269" s="72"/>
      <c r="H269" s="72"/>
      <c r="I269" s="71"/>
      <c r="J269" s="114"/>
      <c r="K269" s="114"/>
      <c r="L269" s="114"/>
      <c r="M269" s="47"/>
      <c r="N269" s="47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G269" s="119"/>
      <c r="AH269" s="119"/>
      <c r="AI269" s="119"/>
      <c r="AJ269" s="119"/>
      <c r="AK269" s="119"/>
      <c r="AL269" s="119"/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7"/>
      <c r="AZ269" s="46">
        <f t="shared" si="65"/>
        <v>0</v>
      </c>
      <c r="BA269" s="7"/>
      <c r="BB269" s="116"/>
      <c r="BC269" s="116"/>
    </row>
    <row r="270" spans="1:58" ht="15.6" hidden="1" x14ac:dyDescent="0.6">
      <c r="A270" s="84">
        <v>3</v>
      </c>
      <c r="B270" s="84">
        <v>141252</v>
      </c>
      <c r="C270" s="84" t="s">
        <v>477</v>
      </c>
      <c r="D270" s="71"/>
      <c r="E270" s="72"/>
      <c r="F270" s="72"/>
      <c r="G270" s="72"/>
      <c r="H270" s="84" t="s">
        <v>439</v>
      </c>
      <c r="I270" s="71"/>
      <c r="J270" s="114"/>
      <c r="K270" s="114"/>
      <c r="L270" s="114"/>
      <c r="M270" s="47"/>
      <c r="N270" s="47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G270" s="119"/>
      <c r="AH270" s="119"/>
      <c r="AI270" s="119"/>
      <c r="AJ270" s="119"/>
      <c r="AK270" s="119"/>
      <c r="AL270" s="119"/>
      <c r="AM270" s="119"/>
      <c r="AN270" s="119"/>
      <c r="AO270" s="119"/>
      <c r="AP270" s="119"/>
      <c r="AQ270" s="119"/>
      <c r="AR270" s="119"/>
      <c r="AS270" s="119"/>
      <c r="AT270" s="119"/>
      <c r="AU270" s="119"/>
      <c r="AV270" s="119"/>
      <c r="AW270" s="119"/>
      <c r="AX270" s="119"/>
      <c r="AY270" s="7"/>
      <c r="AZ270" s="46">
        <f t="shared" si="65"/>
        <v>0</v>
      </c>
      <c r="BA270" s="7"/>
      <c r="BB270" s="116"/>
      <c r="BC270" s="116"/>
    </row>
    <row r="271" spans="1:58" ht="15.6" hidden="1" x14ac:dyDescent="0.6">
      <c r="A271" s="84" t="e">
        <f>#REF!+1</f>
        <v>#REF!</v>
      </c>
      <c r="B271" s="84">
        <v>141228</v>
      </c>
      <c r="C271" s="84" t="s">
        <v>478</v>
      </c>
      <c r="D271" s="71"/>
      <c r="E271" s="72"/>
      <c r="F271" s="72"/>
      <c r="G271" s="72"/>
      <c r="H271" s="84" t="s">
        <v>479</v>
      </c>
      <c r="I271" s="71"/>
      <c r="J271" s="114"/>
      <c r="K271" s="114"/>
      <c r="L271" s="114"/>
      <c r="M271" s="47"/>
      <c r="N271" s="47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  <c r="AA271" s="119"/>
      <c r="AB271" s="119"/>
      <c r="AC271" s="119"/>
      <c r="AD271" s="119"/>
      <c r="AE271" s="119"/>
      <c r="AF271" s="119"/>
      <c r="AG271" s="119"/>
      <c r="AH271" s="130"/>
      <c r="AI271" s="119"/>
      <c r="AJ271" s="119"/>
      <c r="AK271" s="119"/>
      <c r="AL271" s="119"/>
      <c r="AM271" s="119"/>
      <c r="AN271" s="119"/>
      <c r="AO271" s="119"/>
      <c r="AP271" s="119"/>
      <c r="AQ271" s="119"/>
      <c r="AR271" s="119"/>
      <c r="AS271" s="119"/>
      <c r="AT271" s="119"/>
      <c r="AU271" s="119"/>
      <c r="AV271" s="119"/>
      <c r="AW271" s="119"/>
      <c r="AX271" s="119"/>
      <c r="AY271" s="7"/>
      <c r="AZ271" s="7"/>
      <c r="BA271" s="7"/>
      <c r="BB271" s="116"/>
      <c r="BC271" s="116"/>
    </row>
    <row r="272" spans="1:58" ht="15.6" hidden="1" x14ac:dyDescent="0.6">
      <c r="A272" s="84" t="e">
        <f t="shared" ref="A272:A273" si="77">A271+1</f>
        <v>#REF!</v>
      </c>
      <c r="B272" s="84">
        <v>141521</v>
      </c>
      <c r="C272" s="84" t="s">
        <v>480</v>
      </c>
      <c r="D272" s="71"/>
      <c r="E272" s="72"/>
      <c r="F272" s="72"/>
      <c r="G272" s="72"/>
      <c r="H272" s="84" t="s">
        <v>439</v>
      </c>
      <c r="I272" s="71"/>
      <c r="J272" s="114"/>
      <c r="K272" s="114"/>
      <c r="L272" s="114"/>
      <c r="M272" s="47"/>
      <c r="N272" s="47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  <c r="AA272" s="119"/>
      <c r="AB272" s="119"/>
      <c r="AC272" s="119"/>
      <c r="AD272" s="119"/>
      <c r="AE272" s="119"/>
      <c r="AF272" s="119"/>
      <c r="AG272" s="119"/>
      <c r="AH272" s="119"/>
      <c r="AI272" s="119"/>
      <c r="AJ272" s="119"/>
      <c r="AK272" s="119"/>
      <c r="AL272" s="119"/>
      <c r="AM272" s="119"/>
      <c r="AN272" s="119"/>
      <c r="AO272" s="119"/>
      <c r="AP272" s="119"/>
      <c r="AQ272" s="119"/>
      <c r="AR272" s="119"/>
      <c r="AS272" s="119"/>
      <c r="AT272" s="119"/>
      <c r="AU272" s="119"/>
      <c r="AV272" s="119"/>
      <c r="AW272" s="119"/>
      <c r="AX272" s="119"/>
      <c r="AY272" s="7"/>
      <c r="AZ272" s="7"/>
      <c r="BA272" s="7"/>
      <c r="BB272" s="116"/>
      <c r="BC272" s="116"/>
    </row>
    <row r="273" spans="1:55" ht="15.6" hidden="1" x14ac:dyDescent="0.6">
      <c r="A273" s="84" t="e">
        <f t="shared" si="77"/>
        <v>#REF!</v>
      </c>
      <c r="B273" s="84">
        <v>141521.00399999999</v>
      </c>
      <c r="C273" s="84" t="s">
        <v>481</v>
      </c>
      <c r="D273" s="71"/>
      <c r="E273" s="72"/>
      <c r="F273" s="72"/>
      <c r="G273" s="72"/>
      <c r="H273" s="84" t="s">
        <v>482</v>
      </c>
      <c r="I273" s="71"/>
      <c r="J273" s="114"/>
      <c r="K273" s="114"/>
      <c r="L273" s="114"/>
      <c r="M273" s="47"/>
      <c r="N273" s="47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  <c r="AA273" s="119"/>
      <c r="AB273" s="119"/>
      <c r="AC273" s="119"/>
      <c r="AD273" s="119"/>
      <c r="AE273" s="119"/>
      <c r="AF273" s="119"/>
      <c r="AG273" s="119"/>
      <c r="AH273" s="119"/>
      <c r="AI273" s="119"/>
      <c r="AJ273" s="119"/>
      <c r="AK273" s="119"/>
      <c r="AL273" s="119"/>
      <c r="AM273" s="119"/>
      <c r="AN273" s="119"/>
      <c r="AO273" s="119"/>
      <c r="AP273" s="119"/>
      <c r="AQ273" s="119"/>
      <c r="AR273" s="119"/>
      <c r="AS273" s="119"/>
      <c r="AT273" s="119"/>
      <c r="AU273" s="119"/>
      <c r="AV273" s="119"/>
      <c r="AW273" s="119"/>
      <c r="AX273" s="119"/>
      <c r="AY273" s="7"/>
      <c r="AZ273" s="7"/>
      <c r="BA273" s="7"/>
      <c r="BB273" s="116"/>
      <c r="BC273" s="116"/>
    </row>
    <row r="274" spans="1:55" ht="15.6" hidden="1" x14ac:dyDescent="0.6">
      <c r="A274" s="84" t="e">
        <f t="shared" ref="A274:A275" si="78">A273+1</f>
        <v>#REF!</v>
      </c>
      <c r="B274" s="84">
        <v>141521.00099999999</v>
      </c>
      <c r="C274" s="84" t="s">
        <v>483</v>
      </c>
      <c r="D274" s="71"/>
      <c r="E274" s="72"/>
      <c r="F274" s="72"/>
      <c r="G274" s="72"/>
      <c r="H274" s="84" t="s">
        <v>482</v>
      </c>
      <c r="I274" s="71"/>
      <c r="J274" s="114"/>
      <c r="K274" s="114"/>
      <c r="L274" s="114"/>
      <c r="M274" s="47"/>
      <c r="N274" s="47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  <c r="AA274" s="119"/>
      <c r="AB274" s="119"/>
      <c r="AC274" s="119"/>
      <c r="AD274" s="119"/>
      <c r="AE274" s="119"/>
      <c r="AF274" s="119"/>
      <c r="AG274" s="119"/>
      <c r="AH274" s="119"/>
      <c r="AI274" s="119"/>
      <c r="AJ274" s="119"/>
      <c r="AK274" s="119"/>
      <c r="AL274" s="119"/>
      <c r="AM274" s="119"/>
      <c r="AN274" s="119"/>
      <c r="AO274" s="119"/>
      <c r="AP274" s="119"/>
      <c r="AQ274" s="119"/>
      <c r="AR274" s="119"/>
      <c r="AS274" s="119"/>
      <c r="AT274" s="119"/>
      <c r="AU274" s="119"/>
      <c r="AV274" s="119"/>
      <c r="AW274" s="119"/>
      <c r="AX274" s="119"/>
      <c r="AY274" s="7"/>
      <c r="AZ274" s="7"/>
      <c r="BA274" s="7"/>
      <c r="BB274" s="116"/>
      <c r="BC274" s="116"/>
    </row>
    <row r="275" spans="1:55" ht="15.6" hidden="1" x14ac:dyDescent="0.6">
      <c r="A275" s="84" t="e">
        <f t="shared" si="78"/>
        <v>#REF!</v>
      </c>
      <c r="B275" s="84">
        <v>185273</v>
      </c>
      <c r="C275" s="84" t="s">
        <v>484</v>
      </c>
      <c r="E275" s="84"/>
      <c r="F275" s="84"/>
      <c r="G275" s="84"/>
      <c r="I275" s="71"/>
      <c r="J275" s="131"/>
      <c r="K275" s="131"/>
      <c r="L275" s="131"/>
      <c r="M275" s="47"/>
      <c r="N275" s="47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  <c r="AA275" s="119"/>
      <c r="AB275" s="119"/>
      <c r="AC275" s="119"/>
      <c r="AD275" s="119"/>
      <c r="AE275" s="119"/>
      <c r="AF275" s="119"/>
      <c r="AG275" s="119"/>
      <c r="AH275" s="119"/>
      <c r="AI275" s="119"/>
      <c r="AJ275" s="119"/>
      <c r="AK275" s="119"/>
      <c r="AL275" s="119"/>
      <c r="AM275" s="119"/>
      <c r="AN275" s="119"/>
      <c r="AO275" s="119"/>
      <c r="AP275" s="119"/>
      <c r="AQ275" s="119"/>
      <c r="AR275" s="119"/>
      <c r="AS275" s="119"/>
      <c r="AT275" s="119"/>
      <c r="AU275" s="119"/>
      <c r="AV275" s="119"/>
      <c r="AW275" s="119"/>
      <c r="AX275" s="119"/>
      <c r="AY275" s="7"/>
      <c r="AZ275" s="7"/>
      <c r="BA275" s="7"/>
      <c r="BB275" s="116"/>
      <c r="BC275" s="116"/>
    </row>
    <row r="276" spans="1:55" ht="15.6" hidden="1" x14ac:dyDescent="0.6">
      <c r="A276" s="84"/>
      <c r="B276" s="84">
        <v>146118</v>
      </c>
      <c r="C276" s="84" t="s">
        <v>485</v>
      </c>
      <c r="E276" s="84"/>
      <c r="F276" s="84"/>
      <c r="G276" s="84"/>
      <c r="H276" s="84" t="s">
        <v>448</v>
      </c>
      <c r="I276" s="71"/>
      <c r="J276" s="131"/>
      <c r="K276" s="131"/>
      <c r="L276" s="131"/>
      <c r="M276" s="47"/>
      <c r="N276" s="47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  <c r="AA276" s="119"/>
      <c r="AB276" s="119"/>
      <c r="AC276" s="119"/>
      <c r="AD276" s="119"/>
      <c r="AE276" s="119"/>
      <c r="AF276" s="119"/>
      <c r="AG276" s="119"/>
      <c r="AH276" s="119"/>
      <c r="AI276" s="119"/>
      <c r="AJ276" s="119"/>
      <c r="AK276" s="119"/>
      <c r="AL276" s="119"/>
      <c r="AM276" s="119"/>
      <c r="AN276" s="119"/>
      <c r="AO276" s="119"/>
      <c r="AP276" s="119"/>
      <c r="AQ276" s="119"/>
      <c r="AR276" s="119"/>
      <c r="AS276" s="119"/>
      <c r="AT276" s="119"/>
      <c r="AU276" s="119"/>
      <c r="AV276" s="119"/>
      <c r="AW276" s="119"/>
      <c r="AX276" s="119"/>
      <c r="AY276" s="7"/>
      <c r="AZ276" s="7"/>
      <c r="BA276" s="7"/>
      <c r="BB276" s="116"/>
      <c r="BC276" s="116"/>
    </row>
    <row r="277" spans="1:55" ht="15.6" hidden="1" x14ac:dyDescent="0.6">
      <c r="A277" s="84"/>
      <c r="B277" s="84">
        <v>820990.00199999998</v>
      </c>
      <c r="C277" s="84" t="s">
        <v>486</v>
      </c>
      <c r="E277" s="84"/>
      <c r="F277" s="84"/>
      <c r="G277" s="84"/>
      <c r="H277" s="84" t="s">
        <v>448</v>
      </c>
      <c r="I277" s="71"/>
      <c r="J277" s="131"/>
      <c r="K277" s="131"/>
      <c r="L277" s="131"/>
      <c r="M277" s="47"/>
      <c r="N277" s="47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  <c r="AA277" s="119"/>
      <c r="AB277" s="119"/>
      <c r="AC277" s="119"/>
      <c r="AD277" s="119"/>
      <c r="AE277" s="119"/>
      <c r="AF277" s="119"/>
      <c r="AG277" s="119"/>
      <c r="AH277" s="119"/>
      <c r="AI277" s="119"/>
      <c r="AJ277" s="119"/>
      <c r="AK277" s="119"/>
      <c r="AL277" s="119"/>
      <c r="AM277" s="119"/>
      <c r="AN277" s="119"/>
      <c r="AO277" s="119"/>
      <c r="AP277" s="119"/>
      <c r="AQ277" s="119"/>
      <c r="AR277" s="119"/>
      <c r="AS277" s="119"/>
      <c r="AT277" s="119"/>
      <c r="AU277" s="119"/>
      <c r="AV277" s="119"/>
      <c r="AW277" s="119"/>
      <c r="AX277" s="119"/>
      <c r="AY277" s="7"/>
      <c r="AZ277" s="7"/>
      <c r="BA277" s="7"/>
      <c r="BB277" s="116"/>
      <c r="BC277" s="116"/>
    </row>
    <row r="278" spans="1:55" ht="15.6" hidden="1" x14ac:dyDescent="0.6">
      <c r="A278" s="84"/>
      <c r="B278" s="84">
        <v>1415</v>
      </c>
      <c r="C278" s="84" t="s">
        <v>487</v>
      </c>
      <c r="E278" s="84"/>
      <c r="F278" s="84"/>
      <c r="G278" s="84"/>
      <c r="H278" s="84" t="s">
        <v>448</v>
      </c>
      <c r="I278" s="71"/>
      <c r="J278" s="131"/>
      <c r="K278" s="131"/>
      <c r="L278" s="131"/>
      <c r="M278" s="47"/>
      <c r="N278" s="47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  <c r="AA278" s="119"/>
      <c r="AB278" s="119"/>
      <c r="AC278" s="119"/>
      <c r="AD278" s="119"/>
      <c r="AE278" s="119"/>
      <c r="AF278" s="119"/>
      <c r="AG278" s="119"/>
      <c r="AH278" s="119"/>
      <c r="AI278" s="119"/>
      <c r="AJ278" s="119"/>
      <c r="AK278" s="119"/>
      <c r="AL278" s="119"/>
      <c r="AM278" s="119"/>
      <c r="AN278" s="119"/>
      <c r="AO278" s="119"/>
      <c r="AP278" s="119"/>
      <c r="AQ278" s="119"/>
      <c r="AR278" s="119"/>
      <c r="AS278" s="119"/>
      <c r="AT278" s="119"/>
      <c r="AU278" s="119"/>
      <c r="AV278" s="119"/>
      <c r="AW278" s="119"/>
      <c r="AX278" s="119"/>
      <c r="AY278" s="7"/>
      <c r="AZ278" s="7"/>
      <c r="BA278" s="7"/>
      <c r="BB278" s="116"/>
      <c r="BC278" s="116"/>
    </row>
    <row r="279" spans="1:55" ht="15.6" hidden="1" x14ac:dyDescent="0.6">
      <c r="A279" s="84"/>
      <c r="B279" s="84">
        <v>141209</v>
      </c>
      <c r="C279" s="84" t="s">
        <v>488</v>
      </c>
      <c r="E279" s="84"/>
      <c r="F279" s="84"/>
      <c r="G279" s="84"/>
      <c r="H279" s="84" t="s">
        <v>448</v>
      </c>
      <c r="I279" s="71"/>
      <c r="J279" s="131"/>
      <c r="K279" s="131"/>
      <c r="L279" s="131"/>
      <c r="M279" s="47"/>
      <c r="N279" s="47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  <c r="AA279" s="119"/>
      <c r="AB279" s="119"/>
      <c r="AC279" s="119"/>
      <c r="AD279" s="119"/>
      <c r="AE279" s="119"/>
      <c r="AF279" s="119"/>
      <c r="AG279" s="119"/>
      <c r="AH279" s="119"/>
      <c r="AI279" s="119"/>
      <c r="AJ279" s="119"/>
      <c r="AK279" s="119"/>
      <c r="AL279" s="119"/>
      <c r="AM279" s="119"/>
      <c r="AN279" s="119"/>
      <c r="AO279" s="119"/>
      <c r="AP279" s="119"/>
      <c r="AQ279" s="119"/>
      <c r="AR279" s="119"/>
      <c r="AS279" s="119"/>
      <c r="AT279" s="119"/>
      <c r="AU279" s="119"/>
      <c r="AV279" s="119"/>
      <c r="AW279" s="119"/>
      <c r="AX279" s="119"/>
      <c r="AY279" s="7"/>
      <c r="AZ279" s="7"/>
      <c r="BA279" s="7"/>
      <c r="BB279" s="116"/>
      <c r="BC279" s="116"/>
    </row>
    <row r="280" spans="1:55" ht="15.6" hidden="1" x14ac:dyDescent="0.6">
      <c r="A280" s="84"/>
      <c r="B280" s="84">
        <v>141230</v>
      </c>
      <c r="C280" s="84" t="s">
        <v>489</v>
      </c>
      <c r="E280" s="84"/>
      <c r="F280" s="84"/>
      <c r="G280" s="84"/>
      <c r="H280" s="84" t="s">
        <v>442</v>
      </c>
      <c r="I280" s="71"/>
      <c r="J280" s="114"/>
      <c r="K280" s="114"/>
      <c r="L280" s="114"/>
      <c r="M280" s="47"/>
      <c r="N280" s="47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  <c r="AA280" s="119"/>
      <c r="AB280" s="119"/>
      <c r="AC280" s="119"/>
      <c r="AD280" s="119"/>
      <c r="AE280" s="119"/>
      <c r="AF280" s="119"/>
      <c r="AG280" s="119"/>
      <c r="AH280" s="119"/>
      <c r="AI280" s="119"/>
      <c r="AJ280" s="119"/>
      <c r="AK280" s="119"/>
      <c r="AL280" s="119"/>
      <c r="AM280" s="119"/>
      <c r="AN280" s="119"/>
      <c r="AO280" s="119"/>
      <c r="AP280" s="119"/>
      <c r="AQ280" s="119"/>
      <c r="AR280" s="119"/>
      <c r="AS280" s="119"/>
      <c r="AT280" s="119"/>
      <c r="AU280" s="119"/>
      <c r="AV280" s="119"/>
      <c r="AW280" s="119"/>
      <c r="AX280" s="119"/>
      <c r="AY280" s="7"/>
      <c r="AZ280" s="7"/>
      <c r="BA280" s="7"/>
      <c r="BB280" s="116"/>
      <c r="BC280" s="116"/>
    </row>
    <row r="281" spans="1:55" ht="15.6" hidden="1" x14ac:dyDescent="0.6">
      <c r="A281" s="84"/>
      <c r="B281" s="84">
        <v>146108.00099999999</v>
      </c>
      <c r="C281" s="84"/>
      <c r="D281" s="71"/>
      <c r="E281" s="72"/>
      <c r="F281" s="72" t="s">
        <v>77</v>
      </c>
      <c r="G281" s="72"/>
      <c r="H281" s="84" t="s">
        <v>442</v>
      </c>
      <c r="I281" s="71"/>
      <c r="J281" s="114"/>
      <c r="K281" s="114"/>
      <c r="L281" s="114"/>
      <c r="M281" s="47"/>
      <c r="N281" s="47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  <c r="AA281" s="119"/>
      <c r="AB281" s="119"/>
      <c r="AC281" s="119"/>
      <c r="AD281" s="119"/>
      <c r="AE281" s="119"/>
      <c r="AF281" s="119"/>
      <c r="AG281" s="119"/>
      <c r="AH281" s="119"/>
      <c r="AI281" s="119"/>
      <c r="AJ281" s="119"/>
      <c r="AK281" s="119"/>
      <c r="AL281" s="119"/>
      <c r="AM281" s="119"/>
      <c r="AN281" s="119"/>
      <c r="AO281" s="119"/>
      <c r="AP281" s="119"/>
      <c r="AQ281" s="119"/>
      <c r="AR281" s="119"/>
      <c r="AS281" s="119"/>
      <c r="AT281" s="119"/>
      <c r="AU281" s="119"/>
      <c r="AV281" s="119"/>
      <c r="AW281" s="119"/>
      <c r="AX281" s="119"/>
      <c r="AY281" s="7"/>
      <c r="AZ281" s="7"/>
      <c r="BA281" s="7"/>
      <c r="BB281" s="116"/>
      <c r="BC281" s="116"/>
    </row>
    <row r="282" spans="1:55" ht="15.6" x14ac:dyDescent="0.6">
      <c r="A282" s="84"/>
      <c r="B282" s="72"/>
      <c r="C282" s="84"/>
      <c r="D282" s="71"/>
      <c r="E282" s="72"/>
      <c r="F282" s="72"/>
      <c r="G282" s="72"/>
      <c r="H282" s="72"/>
      <c r="I282" s="71"/>
      <c r="J282" s="114"/>
      <c r="K282" s="114"/>
      <c r="L282" s="114"/>
      <c r="M282" s="47"/>
      <c r="N282" s="47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  <c r="AA282" s="119"/>
      <c r="AB282" s="119"/>
      <c r="AC282" s="119"/>
      <c r="AD282" s="119"/>
      <c r="AE282" s="119"/>
      <c r="AF282" s="119"/>
      <c r="AG282" s="119"/>
      <c r="AH282" s="119"/>
      <c r="AI282" s="119"/>
      <c r="AJ282" s="119"/>
      <c r="AK282" s="119"/>
      <c r="AL282" s="119"/>
      <c r="AM282" s="119"/>
      <c r="AN282" s="119"/>
      <c r="AO282" s="119"/>
      <c r="AP282" s="119"/>
      <c r="AQ282" s="119"/>
      <c r="AR282" s="119"/>
      <c r="AS282" s="119"/>
      <c r="AT282" s="119"/>
      <c r="AU282" s="119"/>
      <c r="AV282" s="119"/>
      <c r="AW282" s="119"/>
      <c r="AX282" s="119"/>
      <c r="AY282" s="7"/>
      <c r="AZ282" s="7"/>
      <c r="BA282" s="7"/>
      <c r="BB282" s="116"/>
      <c r="BC282" s="116"/>
    </row>
    <row r="283" spans="1:55" ht="15.6" x14ac:dyDescent="0.6">
      <c r="A283" s="84"/>
      <c r="B283" s="72"/>
      <c r="C283" s="84"/>
      <c r="D283" s="71"/>
      <c r="E283" s="72"/>
      <c r="F283" s="72"/>
      <c r="G283" s="72"/>
      <c r="H283" s="72"/>
      <c r="I283" s="71"/>
      <c r="J283" s="114"/>
      <c r="K283" s="114"/>
      <c r="L283" s="114"/>
      <c r="M283" s="47"/>
      <c r="N283" s="47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  <c r="AA283" s="119"/>
      <c r="AB283" s="119"/>
      <c r="AC283" s="119"/>
      <c r="AD283" s="119"/>
      <c r="AE283" s="119"/>
      <c r="AF283" s="119"/>
      <c r="AG283" s="119"/>
      <c r="AH283" s="119"/>
      <c r="AI283" s="119"/>
      <c r="AJ283" s="119"/>
      <c r="AK283" s="119"/>
      <c r="AL283" s="119"/>
      <c r="AM283" s="119"/>
      <c r="AN283" s="119"/>
      <c r="AO283" s="119"/>
      <c r="AP283" s="119"/>
      <c r="AQ283" s="119"/>
      <c r="AR283" s="119"/>
      <c r="AS283" s="119"/>
      <c r="AT283" s="119"/>
      <c r="AU283" s="119"/>
      <c r="AV283" s="119"/>
      <c r="AW283" s="119"/>
      <c r="AX283" s="119"/>
      <c r="AY283" s="7"/>
      <c r="AZ283" s="7"/>
      <c r="BA283" s="7"/>
      <c r="BB283" s="116"/>
      <c r="BC283" s="116"/>
    </row>
    <row r="284" spans="1:55" ht="15.6" x14ac:dyDescent="0.6">
      <c r="A284" s="84"/>
      <c r="B284" s="72"/>
      <c r="C284" s="84"/>
      <c r="D284" s="71"/>
      <c r="E284" s="72"/>
      <c r="F284" s="72"/>
      <c r="G284" s="72"/>
      <c r="H284" s="72"/>
      <c r="I284" s="71"/>
      <c r="J284" s="114"/>
      <c r="K284" s="114"/>
      <c r="L284" s="114"/>
      <c r="M284" s="47"/>
      <c r="N284" s="47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  <c r="AA284" s="119"/>
      <c r="AB284" s="119"/>
      <c r="AC284" s="119"/>
      <c r="AD284" s="119"/>
      <c r="AE284" s="119"/>
      <c r="AF284" s="119"/>
      <c r="AG284" s="119"/>
      <c r="AH284" s="119"/>
      <c r="AI284" s="119"/>
      <c r="AJ284" s="119"/>
      <c r="AK284" s="119"/>
      <c r="AL284" s="119"/>
      <c r="AM284" s="119"/>
      <c r="AN284" s="119"/>
      <c r="AO284" s="119"/>
      <c r="AP284" s="119"/>
      <c r="AQ284" s="119"/>
      <c r="AR284" s="119"/>
      <c r="AS284" s="119"/>
      <c r="AT284" s="119"/>
      <c r="AU284" s="119"/>
      <c r="AV284" s="119"/>
      <c r="AW284" s="119"/>
      <c r="AX284" s="119"/>
      <c r="AY284" s="7"/>
      <c r="AZ284" s="7"/>
      <c r="BA284" s="7"/>
      <c r="BB284" s="116"/>
      <c r="BC284" s="116"/>
    </row>
    <row r="285" spans="1:55" ht="15.6" x14ac:dyDescent="0.6">
      <c r="A285" s="84"/>
      <c r="B285" s="72"/>
      <c r="C285" s="84"/>
      <c r="D285" s="71"/>
      <c r="E285" s="72"/>
      <c r="F285" s="72"/>
      <c r="G285" s="72"/>
      <c r="H285" s="72"/>
      <c r="I285" s="71"/>
      <c r="J285" s="114"/>
      <c r="K285" s="114"/>
      <c r="L285" s="114"/>
      <c r="M285" s="47"/>
      <c r="N285" s="47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  <c r="AA285" s="119"/>
      <c r="AB285" s="119"/>
      <c r="AC285" s="119"/>
      <c r="AD285" s="119"/>
      <c r="AE285" s="119"/>
      <c r="AF285" s="119"/>
      <c r="AG285" s="119"/>
      <c r="AH285" s="119"/>
      <c r="AI285" s="119"/>
      <c r="AJ285" s="119"/>
      <c r="AK285" s="119"/>
      <c r="AL285" s="119"/>
      <c r="AM285" s="119"/>
      <c r="AN285" s="119"/>
      <c r="AO285" s="119"/>
      <c r="AP285" s="119"/>
      <c r="AQ285" s="119"/>
      <c r="AR285" s="119"/>
      <c r="AS285" s="119"/>
      <c r="AT285" s="119"/>
      <c r="AU285" s="119"/>
      <c r="AV285" s="119"/>
      <c r="AW285" s="119"/>
      <c r="AX285" s="119"/>
      <c r="AY285" s="7"/>
      <c r="AZ285" s="7"/>
      <c r="BA285" s="7"/>
      <c r="BB285" s="116"/>
      <c r="BC285" s="116"/>
    </row>
    <row r="286" spans="1:55" ht="15.6" x14ac:dyDescent="0.6">
      <c r="A286" s="84"/>
      <c r="B286" s="72"/>
      <c r="C286" s="84"/>
      <c r="D286" s="71"/>
      <c r="E286" s="72"/>
      <c r="F286" s="72"/>
      <c r="G286" s="72"/>
      <c r="H286" s="72"/>
      <c r="I286" s="71"/>
      <c r="J286" s="114"/>
      <c r="K286" s="114"/>
      <c r="L286" s="114"/>
      <c r="M286" s="47"/>
      <c r="N286" s="47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  <c r="AA286" s="119"/>
      <c r="AB286" s="119"/>
      <c r="AC286" s="119"/>
      <c r="AD286" s="119"/>
      <c r="AE286" s="119"/>
      <c r="AF286" s="119"/>
      <c r="AG286" s="119"/>
      <c r="AH286" s="119"/>
      <c r="AI286" s="119"/>
      <c r="AJ286" s="119"/>
      <c r="AK286" s="119"/>
      <c r="AL286" s="119"/>
      <c r="AM286" s="119"/>
      <c r="AN286" s="119"/>
      <c r="AO286" s="119"/>
      <c r="AP286" s="119"/>
      <c r="AQ286" s="119"/>
      <c r="AR286" s="119"/>
      <c r="AS286" s="119"/>
      <c r="AT286" s="119"/>
      <c r="AU286" s="119"/>
      <c r="AV286" s="119"/>
      <c r="AW286" s="119"/>
      <c r="AX286" s="119"/>
      <c r="AY286" s="7"/>
      <c r="AZ286" s="7"/>
      <c r="BA286" s="7"/>
      <c r="BB286" s="116"/>
      <c r="BC286" s="116"/>
    </row>
    <row r="287" spans="1:55" ht="15.6" x14ac:dyDescent="0.6">
      <c r="A287" s="84"/>
      <c r="B287" s="72"/>
      <c r="C287" s="84"/>
      <c r="D287" s="71"/>
      <c r="E287" s="72"/>
      <c r="F287" s="72"/>
      <c r="G287" s="72"/>
      <c r="H287" s="72"/>
      <c r="I287" s="71"/>
      <c r="J287" s="114"/>
      <c r="K287" s="114"/>
      <c r="L287" s="114"/>
      <c r="M287" s="47"/>
      <c r="N287" s="47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  <c r="AA287" s="119"/>
      <c r="AB287" s="119"/>
      <c r="AC287" s="119"/>
      <c r="AD287" s="119"/>
      <c r="AE287" s="119"/>
      <c r="AF287" s="119"/>
      <c r="AG287" s="119"/>
      <c r="AH287" s="119"/>
      <c r="AI287" s="119"/>
      <c r="AJ287" s="119"/>
      <c r="AK287" s="119"/>
      <c r="AL287" s="119"/>
      <c r="AM287" s="119"/>
      <c r="AN287" s="119"/>
      <c r="AO287" s="119"/>
      <c r="AP287" s="119"/>
      <c r="AQ287" s="119"/>
      <c r="AR287" s="119"/>
      <c r="AS287" s="119"/>
      <c r="AT287" s="119"/>
      <c r="AU287" s="119"/>
      <c r="AV287" s="119"/>
      <c r="AW287" s="119"/>
      <c r="AX287" s="119"/>
      <c r="AY287" s="7"/>
      <c r="AZ287" s="7"/>
      <c r="BA287" s="7"/>
      <c r="BB287" s="116"/>
      <c r="BC287" s="116"/>
    </row>
    <row r="288" spans="1:55" ht="15.6" x14ac:dyDescent="0.6">
      <c r="A288" s="84"/>
      <c r="B288" s="72"/>
      <c r="C288" s="84"/>
      <c r="D288" s="71"/>
      <c r="E288" s="72"/>
      <c r="F288" s="72"/>
      <c r="G288" s="72"/>
      <c r="H288" s="72"/>
      <c r="I288" s="71"/>
      <c r="J288" s="114"/>
      <c r="K288" s="114"/>
      <c r="L288" s="114"/>
      <c r="M288" s="47"/>
      <c r="N288" s="47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  <c r="AA288" s="119"/>
      <c r="AB288" s="119"/>
      <c r="AC288" s="119"/>
      <c r="AD288" s="119"/>
      <c r="AE288" s="119"/>
      <c r="AF288" s="119"/>
      <c r="AG288" s="119"/>
      <c r="AH288" s="119"/>
      <c r="AI288" s="119"/>
      <c r="AJ288" s="119"/>
      <c r="AK288" s="119"/>
      <c r="AL288" s="119"/>
      <c r="AM288" s="119"/>
      <c r="AN288" s="119"/>
      <c r="AO288" s="119"/>
      <c r="AP288" s="119"/>
      <c r="AQ288" s="119"/>
      <c r="AR288" s="119"/>
      <c r="AS288" s="119"/>
      <c r="AT288" s="119"/>
      <c r="AU288" s="119"/>
      <c r="AV288" s="119"/>
      <c r="AW288" s="119"/>
      <c r="AX288" s="119"/>
      <c r="AY288" s="7"/>
      <c r="AZ288" s="7"/>
      <c r="BA288" s="7"/>
      <c r="BB288" s="116"/>
      <c r="BC288" s="116"/>
    </row>
    <row r="289" spans="1:55" ht="15.6" x14ac:dyDescent="0.6">
      <c r="A289" s="84"/>
      <c r="B289" s="72"/>
      <c r="C289" s="84"/>
      <c r="D289" s="71"/>
      <c r="E289" s="72"/>
      <c r="F289" s="72"/>
      <c r="G289" s="72"/>
      <c r="H289" s="72"/>
      <c r="I289" s="71"/>
      <c r="J289" s="114"/>
      <c r="K289" s="114"/>
      <c r="L289" s="114"/>
      <c r="M289" s="47"/>
      <c r="N289" s="47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  <c r="AA289" s="119"/>
      <c r="AB289" s="119"/>
      <c r="AC289" s="119"/>
      <c r="AD289" s="119"/>
      <c r="AE289" s="119"/>
      <c r="AF289" s="119"/>
      <c r="AG289" s="119"/>
      <c r="AH289" s="119"/>
      <c r="AI289" s="119"/>
      <c r="AJ289" s="119"/>
      <c r="AK289" s="119"/>
      <c r="AL289" s="119"/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7"/>
      <c r="AZ289" s="7"/>
      <c r="BA289" s="7"/>
      <c r="BB289" s="116"/>
      <c r="BC289" s="116"/>
    </row>
    <row r="290" spans="1:55" ht="15.6" x14ac:dyDescent="0.6">
      <c r="A290" s="84"/>
      <c r="B290" s="72"/>
      <c r="C290" s="84"/>
      <c r="D290" s="71"/>
      <c r="E290" s="72"/>
      <c r="F290" s="72"/>
      <c r="G290" s="72"/>
      <c r="H290" s="72"/>
      <c r="I290" s="71"/>
      <c r="J290" s="114"/>
      <c r="K290" s="114"/>
      <c r="L290" s="114"/>
      <c r="M290" s="47"/>
      <c r="N290" s="47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  <c r="AA290" s="119"/>
      <c r="AB290" s="119"/>
      <c r="AC290" s="119"/>
      <c r="AD290" s="119"/>
      <c r="AE290" s="119"/>
      <c r="AF290" s="119"/>
      <c r="AG290" s="119"/>
      <c r="AH290" s="119"/>
      <c r="AI290" s="119"/>
      <c r="AJ290" s="119"/>
      <c r="AK290" s="119"/>
      <c r="AL290" s="119"/>
      <c r="AM290" s="119"/>
      <c r="AN290" s="119"/>
      <c r="AO290" s="119"/>
      <c r="AP290" s="119"/>
      <c r="AQ290" s="119"/>
      <c r="AR290" s="119"/>
      <c r="AS290" s="119"/>
      <c r="AT290" s="119"/>
      <c r="AU290" s="119"/>
      <c r="AV290" s="119"/>
      <c r="AW290" s="119"/>
      <c r="AX290" s="119"/>
      <c r="AY290" s="7"/>
      <c r="AZ290" s="7"/>
      <c r="BA290" s="7"/>
      <c r="BB290" s="116"/>
      <c r="BC290" s="116"/>
    </row>
    <row r="291" spans="1:55" ht="15.6" x14ac:dyDescent="0.6">
      <c r="A291" s="84"/>
      <c r="B291" s="72"/>
      <c r="C291" s="84"/>
      <c r="D291" s="71"/>
      <c r="E291" s="72"/>
      <c r="F291" s="72"/>
      <c r="G291" s="72"/>
      <c r="H291" s="72"/>
      <c r="I291" s="71"/>
      <c r="J291" s="114"/>
      <c r="K291" s="114"/>
      <c r="L291" s="114"/>
      <c r="M291" s="47"/>
      <c r="N291" s="47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  <c r="AA291" s="119"/>
      <c r="AB291" s="119"/>
      <c r="AC291" s="119"/>
      <c r="AD291" s="119"/>
      <c r="AE291" s="119"/>
      <c r="AF291" s="119"/>
      <c r="AG291" s="119"/>
      <c r="AH291" s="119"/>
      <c r="AI291" s="119"/>
      <c r="AJ291" s="119"/>
      <c r="AK291" s="119"/>
      <c r="AL291" s="119"/>
      <c r="AM291" s="119"/>
      <c r="AN291" s="119"/>
      <c r="AO291" s="119"/>
      <c r="AP291" s="119"/>
      <c r="AQ291" s="119"/>
      <c r="AR291" s="119"/>
      <c r="AS291" s="119"/>
      <c r="AT291" s="119"/>
      <c r="AU291" s="119"/>
      <c r="AV291" s="119"/>
      <c r="AW291" s="119"/>
      <c r="AX291" s="119"/>
      <c r="AY291" s="7"/>
      <c r="AZ291" s="7"/>
      <c r="BA291" s="7"/>
      <c r="BB291" s="116"/>
      <c r="BC291" s="116"/>
    </row>
    <row r="292" spans="1:55" ht="15.6" x14ac:dyDescent="0.6">
      <c r="A292" s="84"/>
      <c r="B292" s="72"/>
      <c r="C292" s="84"/>
      <c r="D292" s="71"/>
      <c r="E292" s="72"/>
      <c r="F292" s="72"/>
      <c r="G292" s="72"/>
      <c r="H292" s="72"/>
      <c r="I292" s="71"/>
      <c r="J292" s="114"/>
      <c r="K292" s="114"/>
      <c r="L292" s="114"/>
      <c r="M292" s="47"/>
      <c r="N292" s="47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  <c r="AA292" s="119"/>
      <c r="AB292" s="119"/>
      <c r="AC292" s="119"/>
      <c r="AD292" s="119"/>
      <c r="AE292" s="119"/>
      <c r="AF292" s="119"/>
      <c r="AG292" s="119"/>
      <c r="AH292" s="119"/>
      <c r="AI292" s="119"/>
      <c r="AJ292" s="119"/>
      <c r="AK292" s="119"/>
      <c r="AL292" s="119"/>
      <c r="AM292" s="119"/>
      <c r="AN292" s="119"/>
      <c r="AO292" s="119"/>
      <c r="AP292" s="119"/>
      <c r="AQ292" s="119"/>
      <c r="AR292" s="119"/>
      <c r="AS292" s="119"/>
      <c r="AT292" s="119"/>
      <c r="AU292" s="119"/>
      <c r="AV292" s="119"/>
      <c r="AW292" s="119"/>
      <c r="AX292" s="119"/>
      <c r="AY292" s="7"/>
      <c r="AZ292" s="7"/>
      <c r="BA292" s="7"/>
      <c r="BB292" s="116"/>
      <c r="BC292" s="116"/>
    </row>
    <row r="293" spans="1:55" ht="15.6" x14ac:dyDescent="0.6">
      <c r="A293" s="84"/>
      <c r="B293" s="72"/>
      <c r="C293" s="84"/>
      <c r="D293" s="71"/>
      <c r="E293" s="72"/>
      <c r="F293" s="72"/>
      <c r="G293" s="72"/>
      <c r="H293" s="72"/>
      <c r="I293" s="71"/>
      <c r="J293" s="114"/>
      <c r="K293" s="114"/>
      <c r="L293" s="114"/>
      <c r="M293" s="47"/>
      <c r="N293" s="47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  <c r="AA293" s="119"/>
      <c r="AB293" s="119"/>
      <c r="AC293" s="119"/>
      <c r="AD293" s="119"/>
      <c r="AE293" s="119"/>
      <c r="AF293" s="119"/>
      <c r="AG293" s="119"/>
      <c r="AH293" s="119"/>
      <c r="AI293" s="119"/>
      <c r="AJ293" s="119"/>
      <c r="AK293" s="119"/>
      <c r="AL293" s="119"/>
      <c r="AM293" s="119"/>
      <c r="AN293" s="119"/>
      <c r="AO293" s="119"/>
      <c r="AP293" s="119"/>
      <c r="AQ293" s="119"/>
      <c r="AR293" s="119"/>
      <c r="AS293" s="119"/>
      <c r="AT293" s="119"/>
      <c r="AU293" s="119"/>
      <c r="AV293" s="119"/>
      <c r="AW293" s="119"/>
      <c r="AX293" s="119"/>
      <c r="AY293" s="7"/>
      <c r="AZ293" s="7"/>
      <c r="BA293" s="7"/>
      <c r="BB293" s="116"/>
      <c r="BC293" s="116"/>
    </row>
    <row r="294" spans="1:55" ht="15.6" x14ac:dyDescent="0.6">
      <c r="A294" s="84"/>
      <c r="B294" s="72"/>
      <c r="C294" s="84"/>
      <c r="D294" s="71"/>
      <c r="E294" s="72"/>
      <c r="F294" s="72"/>
      <c r="G294" s="72"/>
      <c r="H294" s="72"/>
      <c r="I294" s="71"/>
      <c r="J294" s="114"/>
      <c r="K294" s="114"/>
      <c r="L294" s="114"/>
      <c r="M294" s="47"/>
      <c r="N294" s="47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  <c r="AA294" s="119"/>
      <c r="AB294" s="119"/>
      <c r="AC294" s="119"/>
      <c r="AD294" s="119"/>
      <c r="AE294" s="119"/>
      <c r="AF294" s="119"/>
      <c r="AG294" s="119"/>
      <c r="AH294" s="119"/>
      <c r="AI294" s="119"/>
      <c r="AJ294" s="119"/>
      <c r="AK294" s="119"/>
      <c r="AL294" s="119"/>
      <c r="AM294" s="119"/>
      <c r="AN294" s="119"/>
      <c r="AO294" s="119"/>
      <c r="AP294" s="119"/>
      <c r="AQ294" s="119"/>
      <c r="AR294" s="119"/>
      <c r="AS294" s="119"/>
      <c r="AT294" s="119"/>
      <c r="AU294" s="119"/>
      <c r="AV294" s="119"/>
      <c r="AW294" s="119"/>
      <c r="AX294" s="119"/>
      <c r="AY294" s="7"/>
      <c r="AZ294" s="7"/>
      <c r="BA294" s="7"/>
      <c r="BB294" s="116"/>
      <c r="BC294" s="116"/>
    </row>
    <row r="295" spans="1:55" ht="15.6" x14ac:dyDescent="0.6">
      <c r="A295" s="84"/>
      <c r="B295" s="72"/>
      <c r="C295" s="84"/>
      <c r="D295" s="71"/>
      <c r="E295" s="72"/>
      <c r="F295" s="72"/>
      <c r="G295" s="72"/>
      <c r="H295" s="72"/>
      <c r="I295" s="71"/>
      <c r="J295" s="114"/>
      <c r="K295" s="114"/>
      <c r="L295" s="114"/>
      <c r="M295" s="47"/>
      <c r="N295" s="47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  <c r="AA295" s="119"/>
      <c r="AB295" s="119"/>
      <c r="AC295" s="119"/>
      <c r="AD295" s="119"/>
      <c r="AE295" s="119"/>
      <c r="AF295" s="119"/>
      <c r="AG295" s="119"/>
      <c r="AH295" s="119"/>
      <c r="AI295" s="119"/>
      <c r="AJ295" s="119"/>
      <c r="AK295" s="119"/>
      <c r="AL295" s="119"/>
      <c r="AM295" s="119"/>
      <c r="AN295" s="119"/>
      <c r="AO295" s="119"/>
      <c r="AP295" s="119"/>
      <c r="AQ295" s="119"/>
      <c r="AR295" s="119"/>
      <c r="AS295" s="119"/>
      <c r="AT295" s="119"/>
      <c r="AU295" s="119"/>
      <c r="AV295" s="119"/>
      <c r="AW295" s="119"/>
      <c r="AX295" s="119"/>
      <c r="AY295" s="7"/>
      <c r="AZ295" s="7"/>
      <c r="BA295" s="7"/>
      <c r="BB295" s="116"/>
      <c r="BC295" s="116"/>
    </row>
    <row r="296" spans="1:55" ht="15.6" x14ac:dyDescent="0.6">
      <c r="A296" s="84"/>
      <c r="B296" s="72"/>
      <c r="C296" s="84"/>
      <c r="D296" s="71"/>
      <c r="E296" s="72"/>
      <c r="F296" s="72"/>
      <c r="G296" s="72"/>
      <c r="H296" s="72"/>
      <c r="I296" s="71"/>
      <c r="J296" s="114"/>
      <c r="K296" s="114"/>
      <c r="L296" s="114"/>
      <c r="M296" s="47"/>
      <c r="N296" s="47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  <c r="AA296" s="119"/>
      <c r="AB296" s="119"/>
      <c r="AC296" s="119"/>
      <c r="AD296" s="119"/>
      <c r="AE296" s="119"/>
      <c r="AF296" s="119"/>
      <c r="AG296" s="119"/>
      <c r="AH296" s="119"/>
      <c r="AI296" s="119"/>
      <c r="AJ296" s="119"/>
      <c r="AK296" s="119"/>
      <c r="AL296" s="119"/>
      <c r="AM296" s="119"/>
      <c r="AN296" s="119"/>
      <c r="AO296" s="119"/>
      <c r="AP296" s="119"/>
      <c r="AQ296" s="119"/>
      <c r="AR296" s="119"/>
      <c r="AS296" s="119"/>
      <c r="AT296" s="119"/>
      <c r="AU296" s="119"/>
      <c r="AV296" s="119"/>
      <c r="AW296" s="119"/>
      <c r="AX296" s="119"/>
      <c r="AY296" s="7"/>
      <c r="AZ296" s="7"/>
      <c r="BA296" s="7"/>
      <c r="BB296" s="116"/>
      <c r="BC296" s="116"/>
    </row>
    <row r="297" spans="1:55" ht="15.6" x14ac:dyDescent="0.6">
      <c r="A297" s="84"/>
      <c r="B297" s="72"/>
      <c r="C297" s="84"/>
      <c r="D297" s="71"/>
      <c r="E297" s="72"/>
      <c r="F297" s="72"/>
      <c r="G297" s="72"/>
      <c r="H297" s="72"/>
      <c r="I297" s="71"/>
      <c r="J297" s="114"/>
      <c r="K297" s="114"/>
      <c r="L297" s="114"/>
      <c r="M297" s="47"/>
      <c r="N297" s="47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  <c r="AA297" s="119"/>
      <c r="AB297" s="119"/>
      <c r="AC297" s="119"/>
      <c r="AD297" s="119"/>
      <c r="AE297" s="119"/>
      <c r="AF297" s="119"/>
      <c r="AG297" s="119"/>
      <c r="AH297" s="119"/>
      <c r="AI297" s="119"/>
      <c r="AJ297" s="119"/>
      <c r="AK297" s="119"/>
      <c r="AL297" s="119"/>
      <c r="AM297" s="119"/>
      <c r="AN297" s="119"/>
      <c r="AO297" s="119"/>
      <c r="AP297" s="119"/>
      <c r="AQ297" s="119"/>
      <c r="AR297" s="119"/>
      <c r="AS297" s="119"/>
      <c r="AT297" s="119"/>
      <c r="AU297" s="119"/>
      <c r="AV297" s="119"/>
      <c r="AW297" s="119"/>
      <c r="AX297" s="119"/>
      <c r="AY297" s="7"/>
      <c r="AZ297" s="7"/>
      <c r="BA297" s="7"/>
      <c r="BB297" s="116"/>
      <c r="BC297" s="116"/>
    </row>
    <row r="298" spans="1:55" ht="15.6" x14ac:dyDescent="0.6">
      <c r="A298" s="84"/>
      <c r="B298" s="72"/>
      <c r="C298" s="84"/>
      <c r="D298" s="71"/>
      <c r="E298" s="72"/>
      <c r="F298" s="72"/>
      <c r="G298" s="72"/>
      <c r="H298" s="72"/>
      <c r="I298" s="71"/>
      <c r="J298" s="114"/>
      <c r="K298" s="114"/>
      <c r="L298" s="114"/>
      <c r="M298" s="47"/>
      <c r="N298" s="47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  <c r="AA298" s="119"/>
      <c r="AB298" s="119"/>
      <c r="AC298" s="119"/>
      <c r="AD298" s="119"/>
      <c r="AE298" s="119"/>
      <c r="AF298" s="119"/>
      <c r="AG298" s="119"/>
      <c r="AH298" s="119"/>
      <c r="AI298" s="119"/>
      <c r="AJ298" s="119"/>
      <c r="AK298" s="119"/>
      <c r="AL298" s="119"/>
      <c r="AM298" s="119"/>
      <c r="AN298" s="119"/>
      <c r="AO298" s="119"/>
      <c r="AP298" s="119"/>
      <c r="AQ298" s="119"/>
      <c r="AR298" s="119"/>
      <c r="AS298" s="119"/>
      <c r="AT298" s="119"/>
      <c r="AU298" s="119"/>
      <c r="AV298" s="119"/>
      <c r="AW298" s="119"/>
      <c r="AX298" s="119"/>
      <c r="AY298" s="7"/>
      <c r="AZ298" s="7"/>
      <c r="BA298" s="7"/>
      <c r="BB298" s="116"/>
      <c r="BC298" s="116"/>
    </row>
    <row r="299" spans="1:55" ht="15.6" x14ac:dyDescent="0.6">
      <c r="A299" s="84"/>
      <c r="B299" s="72"/>
      <c r="C299" s="84"/>
      <c r="D299" s="71"/>
      <c r="E299" s="72"/>
      <c r="F299" s="72"/>
      <c r="G299" s="72"/>
      <c r="H299" s="72"/>
      <c r="I299" s="71"/>
      <c r="J299" s="114"/>
      <c r="K299" s="114"/>
      <c r="L299" s="114"/>
      <c r="M299" s="47"/>
      <c r="N299" s="47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  <c r="AA299" s="119"/>
      <c r="AB299" s="119"/>
      <c r="AC299" s="119"/>
      <c r="AD299" s="119"/>
      <c r="AE299" s="119"/>
      <c r="AF299" s="119"/>
      <c r="AG299" s="119"/>
      <c r="AH299" s="119"/>
      <c r="AI299" s="119"/>
      <c r="AJ299" s="119"/>
      <c r="AK299" s="119"/>
      <c r="AL299" s="119"/>
      <c r="AM299" s="119"/>
      <c r="AN299" s="119"/>
      <c r="AO299" s="119"/>
      <c r="AP299" s="119"/>
      <c r="AQ299" s="119"/>
      <c r="AR299" s="119"/>
      <c r="AS299" s="119"/>
      <c r="AT299" s="119"/>
      <c r="AU299" s="119"/>
      <c r="AV299" s="119"/>
      <c r="AW299" s="119"/>
      <c r="AX299" s="119"/>
      <c r="AY299" s="7"/>
      <c r="AZ299" s="7"/>
      <c r="BA299" s="7"/>
      <c r="BB299" s="116"/>
      <c r="BC299" s="116"/>
    </row>
    <row r="300" spans="1:55" ht="15.6" x14ac:dyDescent="0.6">
      <c r="A300" s="84"/>
      <c r="B300" s="72"/>
      <c r="C300" s="84"/>
      <c r="D300" s="71"/>
      <c r="E300" s="72"/>
      <c r="F300" s="72"/>
      <c r="G300" s="72"/>
      <c r="H300" s="72"/>
      <c r="I300" s="71"/>
      <c r="J300" s="114"/>
      <c r="K300" s="114"/>
      <c r="L300" s="114"/>
      <c r="M300" s="47"/>
      <c r="N300" s="47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  <c r="AA300" s="119"/>
      <c r="AB300" s="119"/>
      <c r="AC300" s="119"/>
      <c r="AD300" s="119"/>
      <c r="AE300" s="119"/>
      <c r="AF300" s="119"/>
      <c r="AG300" s="119"/>
      <c r="AH300" s="119"/>
      <c r="AI300" s="119"/>
      <c r="AJ300" s="119"/>
      <c r="AK300" s="119"/>
      <c r="AL300" s="119"/>
      <c r="AM300" s="119"/>
      <c r="AN300" s="119"/>
      <c r="AO300" s="119"/>
      <c r="AP300" s="119"/>
      <c r="AQ300" s="119"/>
      <c r="AR300" s="119"/>
      <c r="AS300" s="119"/>
      <c r="AT300" s="119"/>
      <c r="AU300" s="119"/>
      <c r="AV300" s="119"/>
      <c r="AW300" s="119"/>
      <c r="AX300" s="119"/>
      <c r="AY300" s="7"/>
      <c r="AZ300" s="7"/>
      <c r="BA300" s="7"/>
      <c r="BB300" s="116"/>
      <c r="BC300" s="116"/>
    </row>
    <row r="301" spans="1:55" ht="15.6" x14ac:dyDescent="0.6">
      <c r="A301" s="84"/>
      <c r="B301" s="72"/>
      <c r="C301" s="84"/>
      <c r="D301" s="71"/>
      <c r="E301" s="72"/>
      <c r="F301" s="72"/>
      <c r="G301" s="72"/>
      <c r="H301" s="72"/>
      <c r="I301" s="71"/>
      <c r="J301" s="114"/>
      <c r="K301" s="114"/>
      <c r="L301" s="114"/>
      <c r="M301" s="47"/>
      <c r="N301" s="47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  <c r="AA301" s="119"/>
      <c r="AB301" s="119"/>
      <c r="AC301" s="119"/>
      <c r="AD301" s="119"/>
      <c r="AE301" s="119"/>
      <c r="AF301" s="119"/>
      <c r="AG301" s="119"/>
      <c r="AH301" s="119"/>
      <c r="AI301" s="119"/>
      <c r="AJ301" s="119"/>
      <c r="AK301" s="119"/>
      <c r="AL301" s="119"/>
      <c r="AM301" s="119"/>
      <c r="AN301" s="119"/>
      <c r="AO301" s="119"/>
      <c r="AP301" s="119"/>
      <c r="AQ301" s="119"/>
      <c r="AR301" s="119"/>
      <c r="AS301" s="119"/>
      <c r="AT301" s="119"/>
      <c r="AU301" s="119"/>
      <c r="AV301" s="119"/>
      <c r="AW301" s="119"/>
      <c r="AX301" s="119"/>
      <c r="AY301" s="7"/>
      <c r="AZ301" s="7"/>
      <c r="BA301" s="7"/>
      <c r="BB301" s="116"/>
      <c r="BC301" s="116"/>
    </row>
    <row r="302" spans="1:55" ht="15.6" x14ac:dyDescent="0.6">
      <c r="A302" s="84"/>
      <c r="B302" s="72"/>
      <c r="C302" s="84"/>
      <c r="D302" s="71"/>
      <c r="E302" s="72"/>
      <c r="F302" s="72"/>
      <c r="G302" s="72"/>
      <c r="H302" s="72"/>
      <c r="I302" s="71"/>
      <c r="J302" s="114"/>
      <c r="K302" s="114"/>
      <c r="L302" s="114"/>
      <c r="M302" s="47"/>
      <c r="N302" s="47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  <c r="AA302" s="119"/>
      <c r="AB302" s="119"/>
      <c r="AC302" s="119"/>
      <c r="AD302" s="119"/>
      <c r="AE302" s="119"/>
      <c r="AF302" s="119"/>
      <c r="AG302" s="119"/>
      <c r="AH302" s="119"/>
      <c r="AI302" s="119"/>
      <c r="AJ302" s="119"/>
      <c r="AK302" s="119"/>
      <c r="AL302" s="119"/>
      <c r="AM302" s="119"/>
      <c r="AN302" s="119"/>
      <c r="AO302" s="119"/>
      <c r="AP302" s="119"/>
      <c r="AQ302" s="119"/>
      <c r="AR302" s="119"/>
      <c r="AS302" s="119"/>
      <c r="AT302" s="119"/>
      <c r="AU302" s="119"/>
      <c r="AV302" s="119"/>
      <c r="AW302" s="119"/>
      <c r="AX302" s="119"/>
      <c r="AY302" s="7"/>
      <c r="AZ302" s="7"/>
      <c r="BA302" s="7"/>
      <c r="BB302" s="116"/>
      <c r="BC302" s="116"/>
    </row>
    <row r="303" spans="1:55" ht="15.6" x14ac:dyDescent="0.6">
      <c r="A303" s="84"/>
      <c r="B303" s="72"/>
      <c r="C303" s="84"/>
      <c r="D303" s="71"/>
      <c r="E303" s="72"/>
      <c r="F303" s="72"/>
      <c r="G303" s="72"/>
      <c r="H303" s="72"/>
      <c r="I303" s="71"/>
      <c r="J303" s="114"/>
      <c r="K303" s="114"/>
      <c r="L303" s="114"/>
      <c r="M303" s="47"/>
      <c r="N303" s="47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  <c r="AA303" s="119"/>
      <c r="AB303" s="119"/>
      <c r="AC303" s="119"/>
      <c r="AD303" s="119"/>
      <c r="AE303" s="119"/>
      <c r="AF303" s="119"/>
      <c r="AG303" s="119"/>
      <c r="AH303" s="119"/>
      <c r="AI303" s="119"/>
      <c r="AJ303" s="119"/>
      <c r="AK303" s="119"/>
      <c r="AL303" s="119"/>
      <c r="AM303" s="119"/>
      <c r="AN303" s="119"/>
      <c r="AO303" s="119"/>
      <c r="AP303" s="119"/>
      <c r="AQ303" s="119"/>
      <c r="AR303" s="119"/>
      <c r="AS303" s="119"/>
      <c r="AT303" s="119"/>
      <c r="AU303" s="119"/>
      <c r="AV303" s="119"/>
      <c r="AW303" s="119"/>
      <c r="AX303" s="119"/>
      <c r="AY303" s="7"/>
      <c r="AZ303" s="7"/>
      <c r="BA303" s="7"/>
      <c r="BB303" s="116"/>
      <c r="BC303" s="116"/>
    </row>
    <row r="304" spans="1:55" ht="15.6" x14ac:dyDescent="0.6">
      <c r="A304" s="84"/>
      <c r="B304" s="72"/>
      <c r="C304" s="84"/>
      <c r="D304" s="71"/>
      <c r="E304" s="72"/>
      <c r="F304" s="72"/>
      <c r="G304" s="72"/>
      <c r="H304" s="72"/>
      <c r="I304" s="71"/>
      <c r="J304" s="114"/>
      <c r="K304" s="114"/>
      <c r="L304" s="114"/>
      <c r="M304" s="47"/>
      <c r="N304" s="47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  <c r="AA304" s="119"/>
      <c r="AB304" s="119"/>
      <c r="AC304" s="119"/>
      <c r="AD304" s="119"/>
      <c r="AE304" s="119"/>
      <c r="AF304" s="119"/>
      <c r="AG304" s="119"/>
      <c r="AH304" s="119"/>
      <c r="AI304" s="119"/>
      <c r="AJ304" s="119"/>
      <c r="AK304" s="119"/>
      <c r="AL304" s="119"/>
      <c r="AM304" s="119"/>
      <c r="AN304" s="119"/>
      <c r="AO304" s="119"/>
      <c r="AP304" s="119"/>
      <c r="AQ304" s="119"/>
      <c r="AR304" s="119"/>
      <c r="AS304" s="119"/>
      <c r="AT304" s="119"/>
      <c r="AU304" s="119"/>
      <c r="AV304" s="119"/>
      <c r="AW304" s="119"/>
      <c r="AX304" s="119"/>
      <c r="AY304" s="7"/>
      <c r="AZ304" s="7"/>
      <c r="BA304" s="7"/>
      <c r="BB304" s="116"/>
      <c r="BC304" s="116"/>
    </row>
    <row r="305" spans="1:55" ht="15.6" x14ac:dyDescent="0.6">
      <c r="A305" s="84"/>
      <c r="B305" s="72"/>
      <c r="C305" s="84"/>
      <c r="D305" s="71"/>
      <c r="E305" s="72"/>
      <c r="F305" s="72"/>
      <c r="G305" s="72"/>
      <c r="H305" s="72"/>
      <c r="I305" s="71"/>
      <c r="J305" s="114"/>
      <c r="K305" s="114"/>
      <c r="L305" s="114"/>
      <c r="M305" s="47"/>
      <c r="N305" s="47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  <c r="AA305" s="119"/>
      <c r="AB305" s="119"/>
      <c r="AC305" s="119"/>
      <c r="AD305" s="119"/>
      <c r="AE305" s="119"/>
      <c r="AF305" s="119"/>
      <c r="AG305" s="119"/>
      <c r="AH305" s="119"/>
      <c r="AI305" s="119"/>
      <c r="AJ305" s="119"/>
      <c r="AK305" s="119"/>
      <c r="AL305" s="119"/>
      <c r="AM305" s="119"/>
      <c r="AN305" s="119"/>
      <c r="AO305" s="119"/>
      <c r="AP305" s="119"/>
      <c r="AQ305" s="119"/>
      <c r="AR305" s="119"/>
      <c r="AS305" s="119"/>
      <c r="AT305" s="119"/>
      <c r="AU305" s="119"/>
      <c r="AV305" s="119"/>
      <c r="AW305" s="119"/>
      <c r="AX305" s="119"/>
      <c r="AY305" s="7"/>
      <c r="AZ305" s="7"/>
      <c r="BA305" s="7"/>
      <c r="BB305" s="116"/>
      <c r="BC305" s="116"/>
    </row>
    <row r="306" spans="1:55" ht="15.6" x14ac:dyDescent="0.6">
      <c r="A306" s="84"/>
      <c r="B306" s="72"/>
      <c r="C306" s="84"/>
      <c r="D306" s="71"/>
      <c r="E306" s="72"/>
      <c r="F306" s="72"/>
      <c r="G306" s="72"/>
      <c r="H306" s="72"/>
      <c r="I306" s="71"/>
      <c r="J306" s="114"/>
      <c r="K306" s="114"/>
      <c r="L306" s="114"/>
      <c r="M306" s="47"/>
      <c r="N306" s="47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  <c r="AA306" s="119"/>
      <c r="AB306" s="119"/>
      <c r="AC306" s="119"/>
      <c r="AD306" s="119"/>
      <c r="AE306" s="119"/>
      <c r="AF306" s="119"/>
      <c r="AG306" s="119"/>
      <c r="AH306" s="119"/>
      <c r="AI306" s="119"/>
      <c r="AJ306" s="119"/>
      <c r="AK306" s="119"/>
      <c r="AL306" s="119"/>
      <c r="AM306" s="119"/>
      <c r="AN306" s="119"/>
      <c r="AO306" s="119"/>
      <c r="AP306" s="119"/>
      <c r="AQ306" s="119"/>
      <c r="AR306" s="119"/>
      <c r="AS306" s="119"/>
      <c r="AT306" s="119"/>
      <c r="AU306" s="119"/>
      <c r="AV306" s="119"/>
      <c r="AW306" s="119"/>
      <c r="AX306" s="119"/>
      <c r="AY306" s="7"/>
      <c r="AZ306" s="7"/>
      <c r="BA306" s="7"/>
      <c r="BB306" s="116"/>
      <c r="BC306" s="116"/>
    </row>
    <row r="307" spans="1:55" ht="15.6" x14ac:dyDescent="0.6">
      <c r="A307" s="84"/>
      <c r="B307" s="72"/>
      <c r="C307" s="84"/>
      <c r="D307" s="71"/>
      <c r="E307" s="72"/>
      <c r="F307" s="72"/>
      <c r="G307" s="72"/>
      <c r="H307" s="72"/>
      <c r="I307" s="71"/>
      <c r="J307" s="114"/>
      <c r="K307" s="114"/>
      <c r="L307" s="114"/>
      <c r="M307" s="47"/>
      <c r="N307" s="47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  <c r="AA307" s="119"/>
      <c r="AB307" s="119"/>
      <c r="AC307" s="119"/>
      <c r="AD307" s="119"/>
      <c r="AE307" s="119"/>
      <c r="AF307" s="119"/>
      <c r="AG307" s="119"/>
      <c r="AH307" s="119"/>
      <c r="AI307" s="119"/>
      <c r="AJ307" s="119"/>
      <c r="AK307" s="119"/>
      <c r="AL307" s="119"/>
      <c r="AM307" s="119"/>
      <c r="AN307" s="119"/>
      <c r="AO307" s="119"/>
      <c r="AP307" s="119"/>
      <c r="AQ307" s="119"/>
      <c r="AR307" s="119"/>
      <c r="AS307" s="119"/>
      <c r="AT307" s="119"/>
      <c r="AU307" s="119"/>
      <c r="AV307" s="119"/>
      <c r="AW307" s="119"/>
      <c r="AX307" s="119"/>
      <c r="AY307" s="7"/>
      <c r="AZ307" s="7"/>
      <c r="BA307" s="7"/>
      <c r="BB307" s="116"/>
      <c r="BC307" s="116"/>
    </row>
    <row r="308" spans="1:55" ht="15.6" x14ac:dyDescent="0.6">
      <c r="A308" s="84"/>
      <c r="B308" s="72"/>
      <c r="C308" s="84"/>
      <c r="D308" s="71"/>
      <c r="E308" s="72"/>
      <c r="F308" s="72"/>
      <c r="G308" s="72"/>
      <c r="H308" s="72"/>
      <c r="I308" s="71"/>
      <c r="J308" s="114"/>
      <c r="K308" s="114"/>
      <c r="L308" s="114"/>
      <c r="M308" s="47"/>
      <c r="N308" s="47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  <c r="AB308" s="119"/>
      <c r="AC308" s="119"/>
      <c r="AD308" s="119"/>
      <c r="AE308" s="119"/>
      <c r="AF308" s="119"/>
      <c r="AG308" s="119"/>
      <c r="AH308" s="119"/>
      <c r="AI308" s="119"/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7"/>
      <c r="AZ308" s="7"/>
      <c r="BA308" s="7"/>
      <c r="BB308" s="116"/>
      <c r="BC308" s="116"/>
    </row>
    <row r="309" spans="1:55" ht="15.6" x14ac:dyDescent="0.6">
      <c r="A309" s="84"/>
      <c r="B309" s="72"/>
      <c r="C309" s="84"/>
      <c r="D309" s="71"/>
      <c r="E309" s="72"/>
      <c r="F309" s="72"/>
      <c r="G309" s="72"/>
      <c r="H309" s="72"/>
      <c r="I309" s="71"/>
      <c r="J309" s="114"/>
      <c r="K309" s="114"/>
      <c r="L309" s="114"/>
      <c r="M309" s="47"/>
      <c r="N309" s="47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  <c r="AA309" s="119"/>
      <c r="AB309" s="119"/>
      <c r="AC309" s="119"/>
      <c r="AD309" s="119"/>
      <c r="AE309" s="119"/>
      <c r="AF309" s="119"/>
      <c r="AG309" s="119"/>
      <c r="AH309" s="119"/>
      <c r="AI309" s="119"/>
      <c r="AJ309" s="119"/>
      <c r="AK309" s="119"/>
      <c r="AL309" s="119"/>
      <c r="AM309" s="119"/>
      <c r="AN309" s="119"/>
      <c r="AO309" s="119"/>
      <c r="AP309" s="119"/>
      <c r="AQ309" s="119"/>
      <c r="AR309" s="119"/>
      <c r="AS309" s="119"/>
      <c r="AT309" s="119"/>
      <c r="AU309" s="119"/>
      <c r="AV309" s="119"/>
      <c r="AW309" s="119"/>
      <c r="AX309" s="119"/>
      <c r="AY309" s="7"/>
      <c r="AZ309" s="7"/>
      <c r="BA309" s="7"/>
      <c r="BB309" s="116"/>
      <c r="BC309" s="116"/>
    </row>
    <row r="310" spans="1:55" ht="15.6" x14ac:dyDescent="0.6">
      <c r="A310" s="84"/>
      <c r="B310" s="72"/>
      <c r="C310" s="84"/>
      <c r="D310" s="71"/>
      <c r="E310" s="72"/>
      <c r="F310" s="72"/>
      <c r="G310" s="72"/>
      <c r="H310" s="72"/>
      <c r="I310" s="71"/>
      <c r="J310" s="114"/>
      <c r="K310" s="114"/>
      <c r="L310" s="114"/>
      <c r="M310" s="47"/>
      <c r="N310" s="47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  <c r="AA310" s="119"/>
      <c r="AB310" s="119"/>
      <c r="AC310" s="119"/>
      <c r="AD310" s="119"/>
      <c r="AE310" s="119"/>
      <c r="AF310" s="119"/>
      <c r="AG310" s="119"/>
      <c r="AH310" s="119"/>
      <c r="AI310" s="119"/>
      <c r="AJ310" s="119"/>
      <c r="AK310" s="119"/>
      <c r="AL310" s="119"/>
      <c r="AM310" s="119"/>
      <c r="AN310" s="119"/>
      <c r="AO310" s="119"/>
      <c r="AP310" s="119"/>
      <c r="AQ310" s="119"/>
      <c r="AR310" s="119"/>
      <c r="AS310" s="119"/>
      <c r="AT310" s="119"/>
      <c r="AU310" s="119"/>
      <c r="AV310" s="119"/>
      <c r="AW310" s="119"/>
      <c r="AX310" s="119"/>
      <c r="AY310" s="7"/>
      <c r="AZ310" s="7"/>
      <c r="BA310" s="7"/>
      <c r="BB310" s="116"/>
      <c r="BC310" s="116"/>
    </row>
    <row r="311" spans="1:55" ht="15.6" x14ac:dyDescent="0.6">
      <c r="A311" s="84"/>
      <c r="B311" s="72"/>
      <c r="C311" s="84"/>
      <c r="D311" s="71"/>
      <c r="E311" s="72"/>
      <c r="F311" s="72"/>
      <c r="G311" s="72"/>
      <c r="H311" s="72"/>
      <c r="I311" s="71"/>
      <c r="J311" s="114"/>
      <c r="K311" s="114"/>
      <c r="L311" s="114"/>
      <c r="M311" s="47"/>
      <c r="N311" s="47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  <c r="AA311" s="119"/>
      <c r="AB311" s="119"/>
      <c r="AC311" s="119"/>
      <c r="AD311" s="119"/>
      <c r="AE311" s="119"/>
      <c r="AF311" s="119"/>
      <c r="AG311" s="119"/>
      <c r="AH311" s="119"/>
      <c r="AI311" s="119"/>
      <c r="AJ311" s="119"/>
      <c r="AK311" s="119"/>
      <c r="AL311" s="119"/>
      <c r="AM311" s="119"/>
      <c r="AN311" s="119"/>
      <c r="AO311" s="119"/>
      <c r="AP311" s="119"/>
      <c r="AQ311" s="119"/>
      <c r="AR311" s="119"/>
      <c r="AS311" s="119"/>
      <c r="AT311" s="119"/>
      <c r="AU311" s="119"/>
      <c r="AV311" s="119"/>
      <c r="AW311" s="119"/>
      <c r="AX311" s="119"/>
      <c r="AY311" s="7"/>
      <c r="AZ311" s="7"/>
      <c r="BA311" s="7"/>
      <c r="BB311" s="116"/>
      <c r="BC311" s="116"/>
    </row>
    <row r="312" spans="1:55" ht="15.6" x14ac:dyDescent="0.6">
      <c r="A312" s="84"/>
      <c r="B312" s="72"/>
      <c r="C312" s="84"/>
      <c r="D312" s="71"/>
      <c r="E312" s="72"/>
      <c r="F312" s="72"/>
      <c r="G312" s="72"/>
      <c r="H312" s="72"/>
      <c r="I312" s="71"/>
      <c r="J312" s="114"/>
      <c r="K312" s="114"/>
      <c r="L312" s="114"/>
      <c r="M312" s="47"/>
      <c r="N312" s="47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  <c r="AA312" s="119"/>
      <c r="AB312" s="119"/>
      <c r="AC312" s="119"/>
      <c r="AD312" s="119"/>
      <c r="AE312" s="119"/>
      <c r="AF312" s="119"/>
      <c r="AG312" s="119"/>
      <c r="AH312" s="119"/>
      <c r="AI312" s="119"/>
      <c r="AJ312" s="119"/>
      <c r="AK312" s="119"/>
      <c r="AL312" s="119"/>
      <c r="AM312" s="119"/>
      <c r="AN312" s="119"/>
      <c r="AO312" s="119"/>
      <c r="AP312" s="119"/>
      <c r="AQ312" s="119"/>
      <c r="AR312" s="119"/>
      <c r="AS312" s="119"/>
      <c r="AT312" s="119"/>
      <c r="AU312" s="119"/>
      <c r="AV312" s="119"/>
      <c r="AW312" s="119"/>
      <c r="AX312" s="119"/>
      <c r="AY312" s="7"/>
      <c r="AZ312" s="7"/>
      <c r="BA312" s="7"/>
      <c r="BB312" s="116"/>
      <c r="BC312" s="116"/>
    </row>
    <row r="313" spans="1:55" ht="15.6" x14ac:dyDescent="0.6">
      <c r="A313" s="84"/>
      <c r="B313" s="72"/>
      <c r="C313" s="84"/>
      <c r="D313" s="71"/>
      <c r="E313" s="72"/>
      <c r="F313" s="72"/>
      <c r="G313" s="72"/>
      <c r="H313" s="72"/>
      <c r="I313" s="71"/>
      <c r="J313" s="114"/>
      <c r="K313" s="114"/>
      <c r="L313" s="114"/>
      <c r="M313" s="47"/>
      <c r="N313" s="47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  <c r="AA313" s="119"/>
      <c r="AB313" s="119"/>
      <c r="AC313" s="119"/>
      <c r="AD313" s="119"/>
      <c r="AE313" s="119"/>
      <c r="AF313" s="119"/>
      <c r="AG313" s="119"/>
      <c r="AH313" s="119"/>
      <c r="AI313" s="119"/>
      <c r="AJ313" s="119"/>
      <c r="AK313" s="119"/>
      <c r="AL313" s="119"/>
      <c r="AM313" s="119"/>
      <c r="AN313" s="119"/>
      <c r="AO313" s="119"/>
      <c r="AP313" s="119"/>
      <c r="AQ313" s="119"/>
      <c r="AR313" s="119"/>
      <c r="AS313" s="119"/>
      <c r="AT313" s="119"/>
      <c r="AU313" s="119"/>
      <c r="AV313" s="119"/>
      <c r="AW313" s="119"/>
      <c r="AX313" s="119"/>
      <c r="AY313" s="7"/>
      <c r="AZ313" s="7"/>
      <c r="BA313" s="7"/>
      <c r="BB313" s="116"/>
      <c r="BC313" s="116"/>
    </row>
    <row r="314" spans="1:55" ht="15.6" x14ac:dyDescent="0.6">
      <c r="A314" s="84"/>
      <c r="B314" s="72"/>
      <c r="C314" s="84"/>
      <c r="D314" s="71"/>
      <c r="E314" s="72"/>
      <c r="F314" s="72"/>
      <c r="G314" s="72"/>
      <c r="H314" s="72"/>
      <c r="I314" s="71"/>
      <c r="J314" s="114"/>
      <c r="K314" s="114"/>
      <c r="L314" s="114"/>
      <c r="M314" s="47"/>
      <c r="N314" s="47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  <c r="AA314" s="119"/>
      <c r="AB314" s="119"/>
      <c r="AC314" s="119"/>
      <c r="AD314" s="119"/>
      <c r="AE314" s="119"/>
      <c r="AF314" s="119"/>
      <c r="AG314" s="119"/>
      <c r="AH314" s="119"/>
      <c r="AI314" s="119"/>
      <c r="AJ314" s="119"/>
      <c r="AK314" s="119"/>
      <c r="AL314" s="119"/>
      <c r="AM314" s="119"/>
      <c r="AN314" s="119"/>
      <c r="AO314" s="119"/>
      <c r="AP314" s="119"/>
      <c r="AQ314" s="119"/>
      <c r="AR314" s="119"/>
      <c r="AS314" s="119"/>
      <c r="AT314" s="119"/>
      <c r="AU314" s="119"/>
      <c r="AV314" s="119"/>
      <c r="AW314" s="119"/>
      <c r="AX314" s="119"/>
      <c r="AY314" s="7"/>
      <c r="AZ314" s="7"/>
      <c r="BA314" s="7"/>
      <c r="BB314" s="116"/>
      <c r="BC314" s="116"/>
    </row>
  </sheetData>
  <autoFilter ref="B1:BB22" xr:uid="{CF3BC52A-6876-4866-BFE5-61D483A5A4DA}"/>
  <mergeCells count="21">
    <mergeCell ref="S5:AM5"/>
    <mergeCell ref="S6:AB6"/>
    <mergeCell ref="AE6:AF6"/>
    <mergeCell ref="B266:C266"/>
    <mergeCell ref="D266:I266"/>
    <mergeCell ref="B189:C189"/>
    <mergeCell ref="D189:I189"/>
    <mergeCell ref="B162:BB162"/>
    <mergeCell ref="B191:C191"/>
    <mergeCell ref="B239:C239"/>
    <mergeCell ref="D239:I239"/>
    <mergeCell ref="B241:C241"/>
    <mergeCell ref="AN5:AW5"/>
    <mergeCell ref="B45:C45"/>
    <mergeCell ref="D45:I45"/>
    <mergeCell ref="B47:C47"/>
    <mergeCell ref="AG6:AH6"/>
    <mergeCell ref="AI6:AJ6"/>
    <mergeCell ref="B30:C30"/>
    <mergeCell ref="B28:C28"/>
    <mergeCell ref="D28:I28"/>
  </mergeCells>
  <phoneticPr fontId="32" type="noConversion"/>
  <pageMargins left="0.7" right="0.7" top="0.75" bottom="0.75" header="0.3" footer="0.3"/>
  <pageSetup paperSize="3" scale="10" orientation="landscape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5e0d7cc-d59c-4ae2-b22e-d63dee2edb4e">
      <Terms xmlns="http://schemas.microsoft.com/office/infopath/2007/PartnerControls"/>
    </lcf76f155ced4ddcb4097134ff3c332f>
    <TaxCatchAll xmlns="15e7a6a2-de0f-4b1a-a779-d4e1db53aadf" xsi:nil="true"/>
    <MediaLengthInSeconds xmlns="35e0d7cc-d59c-4ae2-b22e-d63dee2edb4e" xsi:nil="true"/>
    <SharedWithUsers xmlns="15e7a6a2-de0f-4b1a-a779-d4e1db53aadf">
      <UserInfo>
        <DisplayName>Marieclaire Monasterio Vargas</DisplayName>
        <AccountId>847</AccountId>
        <AccountType/>
      </UserInfo>
      <UserInfo>
        <DisplayName>Julia Manion</DisplayName>
        <AccountId>1152</AccountId>
        <AccountType/>
      </UserInfo>
      <UserInfo>
        <DisplayName>Mary Dickinson</DisplayName>
        <AccountId>151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5BA95FF3295E4D8F887851B6F81958" ma:contentTypeVersion="22" ma:contentTypeDescription="Create a new document." ma:contentTypeScope="" ma:versionID="dbee51fd1087ac5d1a8637f9029e7d38">
  <xsd:schema xmlns:xsd="http://www.w3.org/2001/XMLSchema" xmlns:xs="http://www.w3.org/2001/XMLSchema" xmlns:p="http://schemas.microsoft.com/office/2006/metadata/properties" xmlns:ns2="35e0d7cc-d59c-4ae2-b22e-d63dee2edb4e" xmlns:ns3="15e7a6a2-de0f-4b1a-a779-d4e1db53aadf" targetNamespace="http://schemas.microsoft.com/office/2006/metadata/properties" ma:root="true" ma:fieldsID="8961b0661f31bba15912b2a618fe32f3" ns2:_="" ns3:_="">
    <xsd:import namespace="35e0d7cc-d59c-4ae2-b22e-d63dee2edb4e"/>
    <xsd:import namespace="15e7a6a2-de0f-4b1a-a779-d4e1db53aad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e0d7cc-d59c-4ae2-b22e-d63dee2edb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f25c9f89-7c4d-4bde-82fe-985a4f0c2f5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e7a6a2-de0f-4b1a-a779-d4e1db53aad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f725cb3-e302-42ac-899c-cd2eed9413c9}" ma:internalName="TaxCatchAll" ma:showField="CatchAllData" ma:web="15e7a6a2-de0f-4b1a-a779-d4e1db53aad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A730820-59B9-4428-B28E-A4AAB32AC0B2}">
  <ds:schemaRefs>
    <ds:schemaRef ds:uri="http://schemas.microsoft.com/office/2006/metadata/properties"/>
    <ds:schemaRef ds:uri="http://schemas.microsoft.com/office/infopath/2007/PartnerControls"/>
    <ds:schemaRef ds:uri="35e0d7cc-d59c-4ae2-b22e-d63dee2edb4e"/>
    <ds:schemaRef ds:uri="15e7a6a2-de0f-4b1a-a779-d4e1db53aadf"/>
  </ds:schemaRefs>
</ds:datastoreItem>
</file>

<file path=customXml/itemProps2.xml><?xml version="1.0" encoding="utf-8"?>
<ds:datastoreItem xmlns:ds="http://schemas.openxmlformats.org/officeDocument/2006/customXml" ds:itemID="{75996C19-AD80-4FAD-955C-FD91AFFFE9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e0d7cc-d59c-4ae2-b22e-d63dee2edb4e"/>
    <ds:schemaRef ds:uri="15e7a6a2-de0f-4b1a-a779-d4e1db53aa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92BA46D-D4C1-48C8-9A95-0FDCD672597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APP ('25) Current</vt:lpstr>
    </vt:vector>
  </TitlesOfParts>
  <Manager/>
  <Company>Perkins+Will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Dickinson, Mary</dc:creator>
  <cp:keywords/>
  <dc:description/>
  <cp:lastModifiedBy>Yure Suarez</cp:lastModifiedBy>
  <cp:revision/>
  <dcterms:created xsi:type="dcterms:W3CDTF">2019-04-08T15:27:45Z</dcterms:created>
  <dcterms:modified xsi:type="dcterms:W3CDTF">2025-12-23T16:25:53Z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0x010100425BA95FF3295E4D8F887851B6F81958</vt:lpwstr>
  </property>
  <property fmtid="{D5CDD505-2E9C-101B-9397-08002B2CF9AE}" pid="3" name="Order">
    <vt:r8>697700</vt:r8>
  </property>
  <property fmtid="{D5CDD505-2E9C-101B-9397-08002B2CF9AE}" pid="4" name="xd_Signature">
    <vt:bool>false</vt:bool>
  </property>
  <property fmtid="{D5CDD505-2E9C-101B-9397-08002B2CF9AE}" pid="5" name="SharedWithUsers">
    <vt:lpwstr>847;#Marieclaire Monasterio Vargas</vt:lpwstr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MediaServiceImageTags">
    <vt:lpwstr/>
  </property>
</Properties>
</file>