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APP (25) Curren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1">
      <text>
        <t xml:space="preserve">Kat - Interiors
	-Yure Suarez</t>
      </text>
    </comment>
    <comment authorId="0" ref="C50">
      <text>
        <t xml:space="preserve">Kelli - Interiors
	-Yure Suarez</t>
      </text>
    </comment>
    <comment authorId="0" ref="C49">
      <text>
        <t xml:space="preserve">McKenna - Interiors
	-Yure Suarez</t>
      </text>
    </comment>
    <comment authorId="0" ref="N16">
      <text>
        <t xml:space="preserve">how is this 100% if every category needs info?
	-Kendall Claus</t>
      </text>
    </comment>
    <comment authorId="0" ref="N17">
      <text>
        <t xml:space="preserve">how is this 100% if every category needs info?
	-Kendall Claus
I DON’T UNDERSTAND HOW!! Hahaha its an observation for Matt's team
	-Yure Suarez</t>
      </text>
    </comment>
  </commentList>
</comments>
</file>

<file path=xl/sharedStrings.xml><?xml version="1.0" encoding="utf-8"?>
<sst xmlns="http://schemas.openxmlformats.org/spreadsheetml/2006/main" count="2110" uniqueCount="556">
  <si>
    <t>CONCEPTUAL CLARITY</t>
  </si>
  <si>
    <t>RESEARCH &amp; INNOVATION</t>
  </si>
  <si>
    <t>TECHNOLOGY &amp; TECTONICS</t>
  </si>
  <si>
    <t>COMMUNITY &amp; INCLUSION</t>
  </si>
  <si>
    <t>RESILIENCE, &amp; REGENERATION</t>
  </si>
  <si>
    <t>HEALTH &amp; WELL-BEING</t>
  </si>
  <si>
    <t>POETICS &amp; BEAUTY</t>
  </si>
  <si>
    <t xml:space="preserve">Project App Status </t>
  </si>
  <si>
    <t>Percent Completion</t>
  </si>
  <si>
    <t>Old Driver</t>
  </si>
  <si>
    <t>NOTES</t>
  </si>
  <si>
    <t>PROJECT #</t>
  </si>
  <si>
    <t>PROJECT NAME</t>
  </si>
  <si>
    <t>Sector</t>
  </si>
  <si>
    <t xml:space="preserve">Eligible for reporting? </t>
  </si>
  <si>
    <t>Project App?</t>
  </si>
  <si>
    <t xml:space="preserve">Phase </t>
  </si>
  <si>
    <t>LD CHAMPION/ LOCAL POINT OF CONTACT</t>
  </si>
  <si>
    <t>PM/PA</t>
  </si>
  <si>
    <t>Last Phase Reported (to corporate) in 2023</t>
  </si>
  <si>
    <t>Last touchdowns w/ team or champion</t>
  </si>
  <si>
    <t xml:space="preserve">Last project App reviewed </t>
  </si>
  <si>
    <t>2024 DEAR TAG</t>
  </si>
  <si>
    <t>% OF PROJECT APP INFORMATION COMPLETION</t>
  </si>
  <si>
    <t>Design Driver Completion %</t>
  </si>
  <si>
    <t>4 Total Questions</t>
  </si>
  <si>
    <t>6 Total Questions</t>
  </si>
  <si>
    <t>Operational Energy -  18~22  Total Questions</t>
  </si>
  <si>
    <t>Operational Energy Total Questions completed out of 22</t>
  </si>
  <si>
    <t>Operational Carbon - 1~3 Total Question</t>
  </si>
  <si>
    <t>Embodied Carbon - 8 Total Questions</t>
  </si>
  <si>
    <t>Water - Indoor - 6 total questions</t>
  </si>
  <si>
    <t>Water - Outdoor - 4 Total Questions</t>
  </si>
  <si>
    <t>Water Total Questions completed out of 10</t>
  </si>
  <si>
    <t>Ecology - 4 Total Questions</t>
  </si>
  <si>
    <t>Resilience - 1~3 Total Question</t>
  </si>
  <si>
    <t>Public Health Priorities - 1 Question</t>
  </si>
  <si>
    <t>Switch List Vetted</t>
  </si>
  <si>
    <t>Material - 3 Total Questions</t>
  </si>
  <si>
    <t>Air - 1 Total Question</t>
  </si>
  <si>
    <t>Light - 2 Total Questions</t>
  </si>
  <si>
    <t>Thermal Comfort - 1 Total Question</t>
  </si>
  <si>
    <t>Acoustic Performanc -  1 Total Question</t>
  </si>
  <si>
    <t>Water Quality -  1 Total Question</t>
  </si>
  <si>
    <t>Biophilia -  1 Total Question</t>
  </si>
  <si>
    <t>Other  -  1 Total Question</t>
  </si>
  <si>
    <t>1 Total Question</t>
  </si>
  <si>
    <t>67 ~ 73 Total Questions</t>
  </si>
  <si>
    <t>PASS 60%</t>
  </si>
  <si>
    <t>PM</t>
  </si>
  <si>
    <t>Energy Model</t>
  </si>
  <si>
    <t>AIA Baseline EUI</t>
  </si>
  <si>
    <t xml:space="preserve">Predicted Net EUI </t>
  </si>
  <si>
    <t>Level EUI Guidance</t>
  </si>
  <si>
    <t>% of reduction</t>
  </si>
  <si>
    <t>Meet 2030 EUI (80%)</t>
  </si>
  <si>
    <t xml:space="preserve">Baseline LPD </t>
  </si>
  <si>
    <t>Predicted LPD</t>
  </si>
  <si>
    <t>Meet 2030 LPD (25%)</t>
  </si>
  <si>
    <t>Questions Completed</t>
  </si>
  <si>
    <t>Strategy</t>
  </si>
  <si>
    <t>Model</t>
  </si>
  <si>
    <t>Ttl Flow: Potable Water Use Reduction</t>
  </si>
  <si>
    <t>Meets PW Commitment (40%) (35% HC)</t>
  </si>
  <si>
    <t>Ttl Landscape Pot. Water Use Reduction</t>
  </si>
  <si>
    <t>Meets PW Commitment (30%)</t>
  </si>
  <si>
    <t>EDUCATION  (7 projects eligible for Y/E)</t>
  </si>
  <si>
    <t>K12</t>
  </si>
  <si>
    <r>
      <rPr>
        <rFont val="Calibri"/>
        <color rgb="FF000000"/>
        <sz val="12.0"/>
      </rPr>
      <t xml:space="preserve">Eaton HS </t>
    </r>
    <r>
      <rPr>
        <rFont val="Calibri"/>
        <b/>
        <color rgb="FFC00000"/>
        <sz val="12.0"/>
      </rPr>
      <t>(Last year reporting)</t>
    </r>
  </si>
  <si>
    <t>YES</t>
  </si>
  <si>
    <t>CA</t>
  </si>
  <si>
    <t>Ashleigh / Maggie (ID)</t>
  </si>
  <si>
    <t>Barbara Rystrom</t>
  </si>
  <si>
    <t>IDK</t>
  </si>
  <si>
    <t>NO</t>
  </si>
  <si>
    <t>N/A</t>
  </si>
  <si>
    <t>Pathway 2</t>
  </si>
  <si>
    <t>N</t>
  </si>
  <si>
    <t>FWISD Worth Heights Replacement ES</t>
  </si>
  <si>
    <t>DD</t>
  </si>
  <si>
    <t xml:space="preserve">Steele ECHS to Justin ES </t>
  </si>
  <si>
    <t>Barbara Rystrom/ Jose Gutierrez</t>
  </si>
  <si>
    <t>NEEDS INFO</t>
  </si>
  <si>
    <r>
      <rPr>
        <rFont val="Calibri"/>
        <color theme="1"/>
        <sz val="12.0"/>
      </rPr>
      <t xml:space="preserve">Greenhill Dining Reno - </t>
    </r>
    <r>
      <rPr>
        <rFont val="Calibri"/>
        <b/>
        <color rgb="FFC00000"/>
        <sz val="12.0"/>
      </rPr>
      <t>Study</t>
    </r>
  </si>
  <si>
    <t>Study</t>
  </si>
  <si>
    <t>Micah</t>
  </si>
  <si>
    <r>
      <rPr>
        <rFont val="Calibri"/>
        <color theme="1"/>
        <sz val="12.0"/>
      </rPr>
      <t>Greenhill Upper School Reno -</t>
    </r>
    <r>
      <rPr>
        <rFont val="Calibri"/>
        <b/>
        <color rgb="FFC00000"/>
        <sz val="12.0"/>
      </rPr>
      <t xml:space="preserve"> Only Concept</t>
    </r>
  </si>
  <si>
    <r>
      <rPr>
        <rFont val="Calibri"/>
        <color rgb="FF000000"/>
        <sz val="12.0"/>
      </rPr>
      <t xml:space="preserve">Add Service - Forrest Oak MS A/R - </t>
    </r>
    <r>
      <rPr>
        <rFont val="Calibri"/>
        <b/>
        <color rgb="FFC00000"/>
        <sz val="12.0"/>
      </rPr>
      <t>Portables</t>
    </r>
  </si>
  <si>
    <t>Permit</t>
  </si>
  <si>
    <t>Justin Dowhower</t>
  </si>
  <si>
    <t>None</t>
  </si>
  <si>
    <t xml:space="preserve">Needs P-list review and outdoor water calc </t>
  </si>
  <si>
    <r>
      <rPr>
        <rFont val="Calibri"/>
        <color rgb="FF000000"/>
        <sz val="12.0"/>
      </rPr>
      <t>MCA Science Wing and Storm Shelter -</t>
    </r>
    <r>
      <rPr>
        <rFont val="Calibri"/>
        <b/>
        <color rgb="FFC00000"/>
        <sz val="12.0"/>
      </rPr>
      <t xml:space="preserve"> ON HOLD</t>
    </r>
  </si>
  <si>
    <t>on hold</t>
  </si>
  <si>
    <t>Tori / Divija</t>
  </si>
  <si>
    <t>Tori/ Tony</t>
  </si>
  <si>
    <t>CD</t>
  </si>
  <si>
    <t>02.19.2024</t>
  </si>
  <si>
    <t>TBD</t>
  </si>
  <si>
    <t>NISD  - Finish replacement</t>
  </si>
  <si>
    <t>HIGHER ED</t>
  </si>
  <si>
    <r>
      <rPr>
        <rFont val="Calibri"/>
        <color theme="1"/>
        <sz val="12.0"/>
      </rPr>
      <t xml:space="preserve">UTD Jindal School of Management III </t>
    </r>
    <r>
      <rPr>
        <rFont val="Calibri"/>
        <b/>
        <color rgb="FFC00000"/>
        <sz val="12.0"/>
      </rPr>
      <t>- Last year of reporting</t>
    </r>
  </si>
  <si>
    <t>Hiehger ED</t>
  </si>
  <si>
    <t>Ash/ Justin/ Divija</t>
  </si>
  <si>
    <t>Ryan / David</t>
  </si>
  <si>
    <t>Pathway 3</t>
  </si>
  <si>
    <r>
      <rPr>
        <rFont val="Calibri"/>
        <color theme="1"/>
        <sz val="12.0"/>
      </rPr>
      <t xml:space="preserve">UT Austin Business School </t>
    </r>
    <r>
      <rPr>
        <rFont val="Calibri"/>
        <b/>
        <color rgb="FFC00000"/>
        <sz val="12.0"/>
      </rPr>
      <t>- Last year of reporting</t>
    </r>
  </si>
  <si>
    <t>Emily</t>
  </si>
  <si>
    <t>Brad / Brian</t>
  </si>
  <si>
    <t>12.21.23</t>
  </si>
  <si>
    <t>No</t>
  </si>
  <si>
    <t>Needs info</t>
  </si>
  <si>
    <t>TCC Science Bldg Northeast Campus</t>
  </si>
  <si>
    <t>SD</t>
  </si>
  <si>
    <t>Dan Eikenberry</t>
  </si>
  <si>
    <t>ULL Health Care Education</t>
  </si>
  <si>
    <t>Brad Bailey</t>
  </si>
  <si>
    <r>
      <rPr>
        <rFont val="Calibri"/>
        <color theme="1"/>
        <sz val="12.0"/>
      </rPr>
      <t xml:space="preserve">Parker Univ. Conference Center </t>
    </r>
    <r>
      <rPr>
        <rFont val="Calibri"/>
        <b/>
        <color rgb="FFC00000"/>
        <sz val="12.0"/>
      </rPr>
      <t>(2026)</t>
    </r>
  </si>
  <si>
    <t>UNT HSC Design Standards</t>
  </si>
  <si>
    <t>Dan /Micah</t>
  </si>
  <si>
    <t>EDU SUMMARY</t>
  </si>
  <si>
    <r>
      <rPr>
        <rFont val="Calibri"/>
        <b/>
        <color rgb="FF70AD47"/>
        <sz val="12.0"/>
      </rPr>
      <t xml:space="preserve">3 includes info
</t>
    </r>
    <r>
      <rPr>
        <rFont val="Calibri"/>
        <b/>
        <color rgb="FFC00000"/>
        <sz val="12.0"/>
      </rPr>
      <t>1 missing info</t>
    </r>
  </si>
  <si>
    <r>
      <rPr>
        <rFont val="Calibri"/>
        <b/>
        <color rgb="FF70AD47"/>
        <sz val="12.0"/>
      </rPr>
      <t xml:space="preserve">1 includes info
</t>
    </r>
    <r>
      <rPr>
        <rFont val="Calibri"/>
        <b/>
        <color rgb="FFC00000"/>
        <sz val="12.0"/>
      </rPr>
      <t>3 missing info</t>
    </r>
  </si>
  <si>
    <r>
      <rPr>
        <rFont val="Calibri"/>
        <b/>
        <color rgb="FF70AD47"/>
        <sz val="12.0"/>
      </rPr>
      <t xml:space="preserve">3 includes info
</t>
    </r>
    <r>
      <rPr>
        <rFont val="Calibri"/>
        <b/>
        <color rgb="FFC00000"/>
        <sz val="12.0"/>
      </rPr>
      <t>1 missing info</t>
    </r>
  </si>
  <si>
    <r>
      <rPr>
        <rFont val="Calibri"/>
        <b/>
        <color rgb="FF70AD47"/>
        <sz val="12.0"/>
      </rPr>
      <t xml:space="preserve">2 includes info
</t>
    </r>
    <r>
      <rPr>
        <rFont val="Calibri"/>
        <b/>
        <color rgb="FFC00000"/>
        <sz val="12.0"/>
      </rPr>
      <t>2 missing info</t>
    </r>
  </si>
  <si>
    <t>2 of 4 include energy modeling</t>
  </si>
  <si>
    <r>
      <rPr>
        <rFont val="Calibri"/>
        <b/>
        <color rgb="FFC00000"/>
        <sz val="12.0"/>
      </rPr>
      <t>Level 1 - 1</t>
    </r>
    <r>
      <rPr>
        <rFont val="Calibri"/>
        <b/>
        <color theme="5"/>
        <sz val="12.0"/>
      </rPr>
      <t xml:space="preserve">
Level 2 - 2
</t>
    </r>
    <r>
      <rPr>
        <rFont val="Calibri"/>
        <b/>
        <color theme="7"/>
        <sz val="12.0"/>
      </rPr>
      <t>Level 3 - 0</t>
    </r>
    <r>
      <rPr>
        <rFont val="Calibri"/>
        <b/>
        <color theme="5"/>
        <sz val="12.0"/>
      </rPr>
      <t xml:space="preserve">
</t>
    </r>
    <r>
      <rPr>
        <rFont val="Calibri"/>
        <b/>
        <color theme="9"/>
        <sz val="12.0"/>
      </rPr>
      <t>Level 4 - 2</t>
    </r>
    <r>
      <rPr>
        <rFont val="Calibri"/>
        <b/>
        <color theme="5"/>
        <sz val="12.0"/>
      </rPr>
      <t xml:space="preserve">
</t>
    </r>
    <r>
      <rPr>
        <rFont val="Calibri"/>
        <b/>
        <color rgb="FF548135"/>
        <sz val="12.0"/>
      </rPr>
      <t>Level 5</t>
    </r>
    <r>
      <rPr>
        <rFont val="Calibri"/>
        <b/>
        <color theme="5"/>
        <sz val="12.0"/>
      </rPr>
      <t xml:space="preserve"> </t>
    </r>
    <r>
      <rPr>
        <rFont val="Calibri"/>
        <b/>
        <color rgb="FF548135"/>
        <sz val="12.0"/>
      </rPr>
      <t>- 0</t>
    </r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</si>
  <si>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C00000"/>
        <sz val="12.0"/>
      </rPr>
      <t>6 Not meeting target</t>
    </r>
    <r>
      <rPr>
        <rFont val="Calibri"/>
        <b/>
        <color rgb="FFFF0000"/>
        <sz val="12.0"/>
      </rPr>
      <t xml:space="preserve">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theme="7"/>
        <sz val="12.0"/>
      </rPr>
      <t>0 Unconfirmed</t>
    </r>
    <r>
      <rPr>
        <rFont val="Calibri"/>
        <b/>
        <color rgb="FFFFC000"/>
        <sz val="12.0"/>
      </rPr>
      <t xml:space="preserve">
</t>
    </r>
    <r>
      <rPr>
        <rFont val="Calibri"/>
        <b/>
        <color rgb="FFBF8F00"/>
        <sz val="12.0"/>
      </rPr>
      <t>1 missing info</t>
    </r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</si>
  <si>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0 Not meeting target
</t>
    </r>
    <r>
      <rPr>
        <rFont val="Calibri"/>
        <b/>
        <color rgb="FFBFBFBF"/>
        <sz val="12.0"/>
      </rPr>
      <t>0 not in scope</t>
    </r>
    <r>
      <rPr>
        <rFont val="Calibri"/>
        <b/>
        <color rgb="FFBFBFBF"/>
        <sz val="12.0"/>
      </rPr>
      <t xml:space="preserve">
</t>
    </r>
    <r>
      <rPr>
        <rFont val="Calibri"/>
        <b/>
        <color theme="7"/>
        <sz val="12.0"/>
      </rPr>
      <t>0 Unco</t>
    </r>
    <r>
      <rPr>
        <rFont val="Calibri"/>
        <b/>
        <color rgb="FFFFC000"/>
        <sz val="12.0"/>
      </rPr>
      <t xml:space="preserve">nfirmed
</t>
    </r>
    <r>
      <rPr>
        <rFont val="Calibri"/>
        <b/>
        <color rgb="FFBF9000"/>
        <sz val="12.0"/>
      </rPr>
      <t>1 missing info</t>
    </r>
  </si>
  <si>
    <t>1 of 4 include Operational Carbon Calcs</t>
  </si>
  <si>
    <t>1 Pathway 1
1 Pathway 2
0 Pathway 3
2 No Pathway</t>
  </si>
  <si>
    <r>
      <rPr>
        <rFont val="Calibri"/>
        <b/>
        <color rgb="FF70AD47"/>
        <sz val="12.0"/>
      </rPr>
      <t xml:space="preserve">1 meeting target
</t>
    </r>
    <r>
      <rPr>
        <rFont val="Calibri"/>
        <b/>
        <color rgb="FFEE0000"/>
        <sz val="12.0"/>
      </rPr>
      <t>1</t>
    </r>
    <r>
      <rPr>
        <rFont val="Calibri"/>
        <b/>
        <color rgb="FFFF0000"/>
        <sz val="12.0"/>
      </rPr>
      <t xml:space="preserve">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4 missing info</t>
    </r>
  </si>
  <si>
    <r>
      <rPr>
        <rFont val="Calibri"/>
        <b/>
        <color rgb="FF70AD47"/>
        <sz val="12.0"/>
      </rPr>
      <t xml:space="preserve">1 meeting target
</t>
    </r>
    <r>
      <rPr>
        <rFont val="Calibri"/>
        <b/>
        <color rgb="FFFF0000"/>
        <sz val="12.0"/>
      </rPr>
      <t xml:space="preserve">0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9000"/>
        <sz val="12.0"/>
      </rPr>
      <t>4</t>
    </r>
    <r>
      <rPr>
        <rFont val="Calibri"/>
        <b/>
        <color rgb="FFBF8F00"/>
        <sz val="12.0"/>
      </rPr>
      <t xml:space="preserve"> missing info</t>
    </r>
  </si>
  <si>
    <t>2 of 4 include resiliency analysis</t>
  </si>
  <si>
    <t>2 of 4</t>
  </si>
  <si>
    <t>CCC - (2 projects eligible for Y/E)</t>
  </si>
  <si>
    <t>KBHCCD Expansion</t>
  </si>
  <si>
    <t>CCC</t>
  </si>
  <si>
    <t>Jim Johnson</t>
  </si>
  <si>
    <t>Dallas Museum of Art Renovation-AOR</t>
  </si>
  <si>
    <t>Eduardo Churquina</t>
  </si>
  <si>
    <r>
      <rPr>
        <rFont val="Calibri"/>
        <color rgb="FF000000"/>
        <sz val="12.0"/>
      </rPr>
      <t xml:space="preserve">Design District </t>
    </r>
    <r>
      <rPr>
        <rFont val="Calibri"/>
        <b/>
        <color rgb="FFC00000"/>
        <sz val="12.0"/>
      </rPr>
      <t>(2026)</t>
    </r>
  </si>
  <si>
    <t>HOLD</t>
  </si>
  <si>
    <t>John Strasius/ Kristen Winters</t>
  </si>
  <si>
    <t>Mary</t>
  </si>
  <si>
    <r>
      <rPr>
        <rFont val="Calibri"/>
        <color rgb="FF000000"/>
        <sz val="12.0"/>
      </rPr>
      <t>Harold Simmons Park Shade Structure -</t>
    </r>
    <r>
      <rPr>
        <rFont val="Calibri"/>
        <b/>
        <color rgb="FFC00000"/>
        <sz val="12.0"/>
      </rPr>
      <t xml:space="preserve"> Last and only report/ EC Study</t>
    </r>
  </si>
  <si>
    <t>Sdavid Sascha / Braxton</t>
  </si>
  <si>
    <t>Texas Farm Bureau Waco HQ Renovations (Only Concept)</t>
  </si>
  <si>
    <t>Churquina, Eduardo</t>
  </si>
  <si>
    <t>Concept</t>
  </si>
  <si>
    <t>Strasius, John</t>
  </si>
  <si>
    <r>
      <rPr>
        <rFont val="Calibri"/>
        <color rgb="FF000000"/>
        <sz val="12.0"/>
      </rPr>
      <t xml:space="preserve">Allen Office Hourly  </t>
    </r>
    <r>
      <rPr>
        <rFont val="Calibri"/>
        <b/>
        <color rgb="FFC00000"/>
        <sz val="12.0"/>
      </rPr>
      <t>(study)</t>
    </r>
  </si>
  <si>
    <t>GEN</t>
  </si>
  <si>
    <t>KBHCCD Office Relocations</t>
  </si>
  <si>
    <t>FIFA Enabling Works</t>
  </si>
  <si>
    <t>Transportation Component</t>
  </si>
  <si>
    <t>Memorial Atena &amp; TBAAL relocation of sup</t>
  </si>
  <si>
    <r>
      <rPr>
        <rFont val="Calibri"/>
        <color theme="1"/>
        <sz val="12.0"/>
      </rPr>
      <t xml:space="preserve">Design District MP </t>
    </r>
    <r>
      <rPr>
        <rFont val="Calibri"/>
        <b/>
        <color rgb="FFC00000"/>
        <sz val="12.0"/>
      </rPr>
      <t>- on hold</t>
    </r>
  </si>
  <si>
    <t>John Strasius</t>
  </si>
  <si>
    <t>NOT YET</t>
  </si>
  <si>
    <t>NA</t>
  </si>
  <si>
    <r>
      <rPr>
        <rFont val="Calibri"/>
        <color rgb="FF000000"/>
        <sz val="12.0"/>
      </rPr>
      <t xml:space="preserve">Aquarium and Attractions Complex </t>
    </r>
    <r>
      <rPr>
        <rFont val="Calibri"/>
        <b/>
        <color rgb="FFC00000"/>
        <sz val="12.0"/>
      </rPr>
      <t>(hold)</t>
    </r>
  </si>
  <si>
    <r>
      <rPr>
        <rFont val="Calibri"/>
        <color theme="1"/>
        <sz val="12.0"/>
      </rPr>
      <t xml:space="preserve">Allen Office Buildings - </t>
    </r>
    <r>
      <rPr>
        <rFont val="Calibri"/>
        <b/>
        <color rgb="FFC00000"/>
        <sz val="12.0"/>
      </rPr>
      <t>Renders</t>
    </r>
  </si>
  <si>
    <t>CCCC SUMMARY</t>
  </si>
  <si>
    <r>
      <rPr>
        <rFont val="Calibri"/>
        <b/>
        <color rgb="FF70AD47"/>
        <sz val="12.0"/>
      </rPr>
      <t xml:space="preserve">3 includes info
</t>
    </r>
    <r>
      <rPr>
        <rFont val="Calibri"/>
        <b/>
        <color rgb="FFC00000"/>
        <sz val="12.0"/>
      </rPr>
      <t>2 missing info</t>
    </r>
  </si>
  <si>
    <r>
      <rPr>
        <rFont val="Calibri"/>
        <b/>
        <color rgb="FF70AD47"/>
        <sz val="12.0"/>
      </rPr>
      <t xml:space="preserve">3 includes info
</t>
    </r>
    <r>
      <rPr>
        <rFont val="Calibri"/>
        <b/>
        <color rgb="FFC00000"/>
        <sz val="12.0"/>
      </rPr>
      <t>2 missing info</t>
    </r>
  </si>
  <si>
    <r>
      <rPr>
        <rFont val="Calibri"/>
        <b/>
        <color rgb="FF70AD47"/>
        <sz val="12.0"/>
      </rPr>
      <t xml:space="preserve">3 includes info
</t>
    </r>
    <r>
      <rPr>
        <rFont val="Calibri"/>
        <b/>
        <color rgb="FFC00000"/>
        <sz val="12.0"/>
      </rPr>
      <t>3 missing info</t>
    </r>
  </si>
  <si>
    <r>
      <rPr>
        <rFont val="Calibri"/>
        <b/>
        <color rgb="FF70AD47"/>
        <sz val="12.0"/>
      </rPr>
      <t xml:space="preserve">3 includes info
</t>
    </r>
    <r>
      <rPr>
        <rFont val="Calibri"/>
        <b/>
        <color rgb="FFC00000"/>
        <sz val="12.0"/>
      </rPr>
      <t>2 missing info</t>
    </r>
  </si>
  <si>
    <r>
      <rPr>
        <rFont val="Calibri"/>
        <b/>
        <color rgb="FFC00000"/>
        <sz val="12.0"/>
      </rPr>
      <t>Level 1 - 0</t>
    </r>
    <r>
      <rPr>
        <rFont val="Calibri"/>
        <b/>
        <color theme="5"/>
        <sz val="12.0"/>
      </rPr>
      <t xml:space="preserve">
Level 2 - 0
</t>
    </r>
    <r>
      <rPr>
        <rFont val="Calibri"/>
        <b/>
        <color theme="7"/>
        <sz val="12.0"/>
      </rPr>
      <t>Level 3 - 0</t>
    </r>
    <r>
      <rPr>
        <rFont val="Calibri"/>
        <b/>
        <color theme="5"/>
        <sz val="12.0"/>
      </rPr>
      <t xml:space="preserve">
</t>
    </r>
    <r>
      <rPr>
        <rFont val="Calibri"/>
        <b/>
        <color theme="9"/>
        <sz val="12.0"/>
      </rPr>
      <t>Level 4 - 1</t>
    </r>
    <r>
      <rPr>
        <rFont val="Calibri"/>
        <b/>
        <color theme="5"/>
        <sz val="12.0"/>
      </rPr>
      <t xml:space="preserve">
</t>
    </r>
    <r>
      <rPr>
        <rFont val="Calibri"/>
        <b/>
        <color rgb="FF548135"/>
        <sz val="12.0"/>
      </rPr>
      <t>Level 5</t>
    </r>
    <r>
      <rPr>
        <rFont val="Calibri"/>
        <b/>
        <color theme="5"/>
        <sz val="12.0"/>
      </rPr>
      <t xml:space="preserve"> </t>
    </r>
    <r>
      <rPr>
        <rFont val="Calibri"/>
        <b/>
        <color rgb="FF548135"/>
        <sz val="12.0"/>
      </rPr>
      <t>- 1</t>
    </r>
  </si>
  <si>
    <r>
      <rPr>
        <rFont val="Calibri"/>
        <b/>
        <color rgb="FF70AD47"/>
        <sz val="12.0"/>
      </rPr>
      <t xml:space="preserve">1 meeting target
</t>
    </r>
    <r>
      <rPr>
        <rFont val="Calibri"/>
        <b/>
        <color rgb="FFC00000"/>
        <sz val="12.0"/>
      </rPr>
      <t>2 Not meeting target</t>
    </r>
    <r>
      <rPr>
        <rFont val="Calibri"/>
        <b/>
        <color rgb="FFFF0000"/>
        <sz val="12.0"/>
      </rPr>
      <t xml:space="preserve">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theme="7"/>
        <sz val="12.0"/>
      </rPr>
      <t>0 Unconfirmed</t>
    </r>
    <r>
      <rPr>
        <rFont val="Calibri"/>
        <b/>
        <color rgb="FFFFC000"/>
        <sz val="12.0"/>
      </rPr>
      <t xml:space="preserve">
</t>
    </r>
    <r>
      <rPr>
        <rFont val="Calibri"/>
        <b/>
        <color rgb="FFBF8F00"/>
        <sz val="12.0"/>
      </rPr>
      <t>2 missing info</t>
    </r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</si>
  <si>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0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0 missing info</t>
    </r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</si>
  <si>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0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5 missing info</t>
    </r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</si>
  <si>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0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5 missing info</t>
    </r>
  </si>
  <si>
    <t>3 of 5 include resiliency analysis</t>
  </si>
  <si>
    <t>2 of 5</t>
  </si>
  <si>
    <t>HEALTHCARE DIV (26 projects eligible for Y/E)</t>
  </si>
  <si>
    <t>PHMS-New Pediatric Campus - Hospital</t>
  </si>
  <si>
    <t>Healthcare Div</t>
  </si>
  <si>
    <t xml:space="preserve">Mary , Tom </t>
  </si>
  <si>
    <t xml:space="preserve">Juan Navarro / </t>
  </si>
  <si>
    <t>02.20.2024</t>
  </si>
  <si>
    <t>Needs project description</t>
  </si>
  <si>
    <r>
      <rPr>
        <rFont val="Calibri"/>
        <color rgb="FF000000"/>
        <sz val="12.0"/>
      </rPr>
      <t xml:space="preserve">THP Plano Campus Bed Tower - </t>
    </r>
    <r>
      <rPr>
        <rFont val="Calibri"/>
        <b/>
        <color rgb="FFC00000"/>
        <sz val="12.0"/>
      </rPr>
      <t>This is the last report</t>
    </r>
  </si>
  <si>
    <t>Wes Bowen / Jen Parlett</t>
  </si>
  <si>
    <t>YES-ISH</t>
  </si>
  <si>
    <t>Y</t>
  </si>
  <si>
    <t xml:space="preserve">Biofilia, water savings, precutionary list, lighting circadian rhythm. </t>
  </si>
  <si>
    <r>
      <rPr>
        <rFont val="Calibri"/>
        <color rgb="FF000000"/>
        <sz val="12.0"/>
      </rPr>
      <t>THP OR Renovation  -</t>
    </r>
    <r>
      <rPr>
        <rFont val="Calibri"/>
        <b/>
        <color rgb="FFC00000"/>
        <sz val="12.0"/>
      </rPr>
      <t xml:space="preserve"> This is the last report</t>
    </r>
  </si>
  <si>
    <t>Wes Bowen</t>
  </si>
  <si>
    <r>
      <rPr>
        <rFont val="Calibri"/>
        <color theme="1"/>
        <sz val="12.0"/>
      </rPr>
      <t xml:space="preserve">Tenet Health - Buckeye Hospital   </t>
    </r>
    <r>
      <rPr>
        <rFont val="Calibri"/>
        <b/>
        <color rgb="FFC00000"/>
        <sz val="12.0"/>
      </rPr>
      <t>This is the last report - Done</t>
    </r>
  </si>
  <si>
    <t>Bowen, John</t>
  </si>
  <si>
    <t>ON HOLD</t>
  </si>
  <si>
    <t>Pathway 1</t>
  </si>
  <si>
    <r>
      <rPr>
        <rFont val="Calibri"/>
        <color rgb="FF000000"/>
        <sz val="12.0"/>
      </rPr>
      <t xml:space="preserve">Bon Secours St Marys Expansion 2024  </t>
    </r>
    <r>
      <rPr>
        <rFont val="Calibri"/>
        <b/>
        <color rgb="FFC00000"/>
        <sz val="12.0"/>
      </rPr>
      <t>This is the last report</t>
    </r>
  </si>
  <si>
    <t>Griffin, Cory</t>
  </si>
  <si>
    <t>Cory / Katherine</t>
  </si>
  <si>
    <t>No Pathway</t>
  </si>
  <si>
    <r>
      <rPr>
        <rFont val="Calibri"/>
        <color rgb="FF000000"/>
        <sz val="12.0"/>
      </rPr>
      <t xml:space="preserve">Our Lady of the Lake ED Reno   </t>
    </r>
    <r>
      <rPr>
        <rFont val="Calibri"/>
        <b/>
        <color rgb="FFC00000"/>
        <sz val="12.0"/>
      </rPr>
      <t>This is the last report</t>
    </r>
  </si>
  <si>
    <t>Cory Griffin / Katherine Busch</t>
  </si>
  <si>
    <r>
      <rPr>
        <rFont val="Calibri"/>
        <color rgb="FF000000"/>
        <sz val="12.0"/>
      </rPr>
      <t xml:space="preserve">Texas Health Midlothian IHC  - </t>
    </r>
    <r>
      <rPr>
        <rFont val="Calibri"/>
        <b/>
        <color rgb="FFC00000"/>
        <sz val="12.0"/>
      </rPr>
      <t>This is the last report</t>
    </r>
  </si>
  <si>
    <t>Anson, Stephen</t>
  </si>
  <si>
    <t>Anson/ Zach Spero</t>
  </si>
  <si>
    <r>
      <rPr>
        <rFont val="Calibri"/>
        <color theme="1"/>
        <sz val="12.0"/>
      </rPr>
      <t xml:space="preserve">Little Rock Rehab Hospital  - </t>
    </r>
    <r>
      <rPr>
        <rFont val="Calibri"/>
        <b/>
        <color rgb="FFC00000"/>
        <sz val="12.0"/>
      </rPr>
      <t>This is the last report</t>
    </r>
  </si>
  <si>
    <r>
      <rPr>
        <rFont val="Calibri"/>
        <color theme="1"/>
        <sz val="12.0"/>
      </rPr>
      <t>Cambridge Frisco MOB -</t>
    </r>
    <r>
      <rPr>
        <rFont val="Calibri"/>
        <b/>
        <color rgb="FFC00000"/>
        <sz val="12.0"/>
      </rPr>
      <t xml:space="preserve"> This is the last report</t>
    </r>
  </si>
  <si>
    <t>Anson/ Nnaemeka Mozie</t>
  </si>
  <si>
    <t>Cambridge Frisco MOB</t>
  </si>
  <si>
    <t>need to contact</t>
  </si>
  <si>
    <r>
      <rPr>
        <rFont val="Calibri"/>
        <color theme="1"/>
        <sz val="12.0"/>
      </rPr>
      <t xml:space="preserve">MHS: Corporate Office POB </t>
    </r>
    <r>
      <rPr>
        <rFont val="Calibri"/>
        <b/>
        <color rgb="FFC00000"/>
        <sz val="12.0"/>
      </rPr>
      <t>- on hold</t>
    </r>
  </si>
  <si>
    <t>Mark Roan</t>
  </si>
  <si>
    <t>MHS: Corporate Office POB - on hold</t>
  </si>
  <si>
    <r>
      <rPr>
        <rFont val="Calibri"/>
        <color theme="1"/>
        <sz val="12.0"/>
      </rPr>
      <t>MDMC: NICU Renovation -</t>
    </r>
    <r>
      <rPr>
        <rFont val="Calibri"/>
        <b/>
        <color rgb="FFFF0000"/>
        <sz val="12.0"/>
      </rPr>
      <t xml:space="preserve"> </t>
    </r>
    <r>
      <rPr>
        <rFont val="Calibri"/>
        <b/>
        <color rgb="FFC00000"/>
        <sz val="12.0"/>
      </rPr>
      <t>on hold</t>
    </r>
  </si>
  <si>
    <t>Mark Roan/Natali Brennan</t>
  </si>
  <si>
    <t>MDMC: NICU Renovation</t>
  </si>
  <si>
    <r>
      <rPr>
        <rFont val="Calibri"/>
        <color theme="1"/>
        <sz val="12.0"/>
      </rPr>
      <t xml:space="preserve">MDMC: Shell OR Build Out </t>
    </r>
    <r>
      <rPr>
        <rFont val="Calibri"/>
        <b/>
        <color rgb="FFC00000"/>
        <sz val="12.0"/>
      </rPr>
      <t>2025 This is the last report</t>
    </r>
  </si>
  <si>
    <r>
      <rPr>
        <rFont val="Calibri"/>
        <color theme="1"/>
        <sz val="12.0"/>
      </rPr>
      <t xml:space="preserve">MDMC: Burn Unit Renovation </t>
    </r>
    <r>
      <rPr>
        <rFont val="Calibri"/>
        <b/>
        <color rgb="FFC00000"/>
        <sz val="12.0"/>
      </rPr>
      <t>2025</t>
    </r>
    <r>
      <rPr>
        <rFont val="Calibri"/>
        <color theme="1"/>
        <sz val="12.0"/>
      </rPr>
      <t xml:space="preserve"> </t>
    </r>
    <r>
      <rPr>
        <rFont val="Calibri"/>
        <b/>
        <color rgb="FFC00000"/>
        <sz val="12.0"/>
      </rPr>
      <t>This is the last report</t>
    </r>
  </si>
  <si>
    <r>
      <rPr>
        <rFont val="Calibri"/>
        <color theme="1"/>
        <sz val="12.0"/>
      </rPr>
      <t>MDMC: MRI Room 03 Renovation  -</t>
    </r>
    <r>
      <rPr>
        <rFont val="Calibri"/>
        <b/>
        <color rgb="FFC00000"/>
        <sz val="12.0"/>
      </rPr>
      <t xml:space="preserve"> This is the last report</t>
    </r>
  </si>
  <si>
    <t>MDMC: 8th Floor Schenkel Tower Reno</t>
  </si>
  <si>
    <t>Yes</t>
  </si>
  <si>
    <t>MDMC: 10th Floor Schenkel Tower Reno</t>
  </si>
  <si>
    <t>Cambridge TFO Lam Vascular</t>
  </si>
  <si>
    <t>Kelli Llorence</t>
  </si>
  <si>
    <t>Cambridge TFO Elite Imaging</t>
  </si>
  <si>
    <t>Cambridge TFO OINT</t>
  </si>
  <si>
    <t>Cambridge TFO Priva OB/GYN</t>
  </si>
  <si>
    <t>Cambridge TFO Texas Spine</t>
  </si>
  <si>
    <t>Cambridge TFO Core Physical Medicine</t>
  </si>
  <si>
    <r>
      <rPr>
        <rFont val="Calibri"/>
        <color rgb="FF000000"/>
        <sz val="12.0"/>
      </rPr>
      <t>BUMC IP CT Renovation -</t>
    </r>
    <r>
      <rPr>
        <rFont val="Calibri"/>
        <b/>
        <color rgb="FFC00000"/>
        <sz val="12.0"/>
      </rPr>
      <t xml:space="preserve"> About to start</t>
    </r>
  </si>
  <si>
    <r>
      <rPr>
        <rFont val="Calibri"/>
        <color rgb="FF000000"/>
        <sz val="12.0"/>
      </rPr>
      <t>THP New CT Room</t>
    </r>
    <r>
      <rPr>
        <rFont val="Calibri"/>
        <b/>
        <color rgb="FFC00000"/>
        <sz val="12.0"/>
      </rPr>
      <t xml:space="preserve"> (small, but meets the req)</t>
    </r>
  </si>
  <si>
    <r>
      <rPr>
        <rFont val="Calibri"/>
        <color rgb="FF000000"/>
        <sz val="12.0"/>
      </rPr>
      <t>THCDS Plano - AHU Replacement</t>
    </r>
    <r>
      <rPr>
        <rFont val="Calibri"/>
        <b/>
        <color rgb="FFC00000"/>
        <sz val="12.0"/>
      </rPr>
      <t xml:space="preserve"> - small</t>
    </r>
  </si>
  <si>
    <t>Dormant</t>
  </si>
  <si>
    <t>Redbird Children's-Tenant Finish -Out</t>
  </si>
  <si>
    <t>SD issue in 2026</t>
  </si>
  <si>
    <t>Sabna Bhat</t>
  </si>
  <si>
    <t>Houston Rehab Hospital</t>
  </si>
  <si>
    <t>STUDY</t>
  </si>
  <si>
    <t>Anson</t>
  </si>
  <si>
    <t>UC Health MHN Expansion</t>
  </si>
  <si>
    <t>DENVER PROJECT</t>
  </si>
  <si>
    <t>Cory Griffin</t>
  </si>
  <si>
    <t>BUMC MRI Room 1 Replacement</t>
  </si>
  <si>
    <t>Pending Start</t>
  </si>
  <si>
    <t>BUMC CT Room Build Out</t>
  </si>
  <si>
    <t>BSWH Grapevine OR/SPD</t>
  </si>
  <si>
    <t>BSW Temple Radiation Oncology</t>
  </si>
  <si>
    <t>PPP Fluoro Replacement</t>
  </si>
  <si>
    <r>
      <rPr>
        <rFont val="Calibri"/>
        <color rgb="FF000000"/>
        <sz val="12.0"/>
      </rPr>
      <t xml:space="preserve">BSWH Plano-Hybrid OR Renovation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</si>
  <si>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BSWI CT Scanner Addition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</si>
  <si>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THP Helipad Relocation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</si>
  <si>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THA Cysto Room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</si>
  <si>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BSWH Plano-Hybrid OR Renovation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</si>
  <si>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BSWH Grapevine-Hybrid OR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</si>
  <si>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BUMC R&amp;F Renovation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</si>
  <si>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BUMC ED Rad Room Renovation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</si>
  <si>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BUMC Nuc Med Rm 6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</si>
  <si>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THP Fluoro Replacement </t>
    </r>
    <r>
      <rPr>
        <rFont val="Calibri"/>
        <b/>
        <color rgb="FFC00000"/>
        <sz val="12.0"/>
      </rPr>
      <t>small</t>
    </r>
  </si>
  <si>
    <r>
      <rPr>
        <rFont val="Calibri"/>
        <color rgb="FF000000"/>
        <sz val="12.0"/>
      </rPr>
      <t xml:space="preserve">THP Nuc Med CT Replacement </t>
    </r>
    <r>
      <rPr>
        <rFont val="Calibri"/>
        <b/>
        <color rgb="FFC00000"/>
        <sz val="12.0"/>
      </rPr>
      <t>small</t>
    </r>
  </si>
  <si>
    <t>Leesburg FEMC</t>
  </si>
  <si>
    <t>Closed</t>
  </si>
  <si>
    <r>
      <rPr>
        <rFont val="Calibri"/>
        <color theme="1"/>
        <sz val="12.0"/>
      </rPr>
      <t xml:space="preserve">BSWG AHU 14 Replacement </t>
    </r>
    <r>
      <rPr>
        <rFont val="Calibri"/>
        <b/>
        <color rgb="FFC00000"/>
        <sz val="12.0"/>
      </rPr>
      <t>small</t>
    </r>
  </si>
  <si>
    <r>
      <rPr>
        <rFont val="Calibri"/>
        <color theme="1"/>
        <sz val="12.0"/>
      </rPr>
      <t xml:space="preserve">BUMC Retail Pharmacy Renovation </t>
    </r>
    <r>
      <rPr>
        <rFont val="Calibri"/>
        <b/>
        <color rgb="FFC00000"/>
        <sz val="12.0"/>
      </rPr>
      <t>small</t>
    </r>
  </si>
  <si>
    <r>
      <rPr>
        <rFont val="Calibri"/>
        <color theme="1"/>
        <sz val="12.0"/>
      </rPr>
      <t xml:space="preserve">BSWG AHU 23 Replacement </t>
    </r>
    <r>
      <rPr>
        <rFont val="Calibri"/>
        <b/>
        <color rgb="FFC00000"/>
        <sz val="12.0"/>
      </rPr>
      <t>small</t>
    </r>
  </si>
  <si>
    <r>
      <rPr>
        <rFont val="Calibri"/>
        <color theme="1"/>
        <sz val="12.0"/>
      </rPr>
      <t xml:space="preserve">THA CT Replacement </t>
    </r>
    <r>
      <rPr>
        <rFont val="Calibri"/>
        <b/>
        <color rgb="FFC00000"/>
        <sz val="12.0"/>
      </rPr>
      <t>small</t>
    </r>
  </si>
  <si>
    <r>
      <rPr>
        <rFont val="Calibri"/>
        <color theme="1"/>
        <sz val="12.0"/>
      </rPr>
      <t xml:space="preserve">THP 4A Headwall Reconfiguration </t>
    </r>
    <r>
      <rPr>
        <rFont val="Calibri"/>
        <b/>
        <color rgb="FFC00000"/>
        <sz val="12.0"/>
      </rPr>
      <t>hold</t>
    </r>
  </si>
  <si>
    <r>
      <rPr>
        <rFont val="Calibri"/>
        <color theme="1"/>
        <sz val="12.0"/>
      </rPr>
      <t xml:space="preserve">Tenet Health- Mission Ridge Hospital </t>
    </r>
    <r>
      <rPr>
        <rFont val="Calibri"/>
        <b/>
        <color rgb="FFC00000"/>
        <sz val="12.0"/>
      </rPr>
      <t>hold</t>
    </r>
  </si>
  <si>
    <r>
      <rPr>
        <rFont val="Calibri"/>
        <color theme="1"/>
        <sz val="12.0"/>
      </rPr>
      <t xml:space="preserve">UC Health MHN Expansion </t>
    </r>
    <r>
      <rPr>
        <rFont val="Calibri"/>
        <b/>
        <color rgb="FFC00000"/>
        <sz val="12.0"/>
      </rPr>
      <t>(Denver)</t>
    </r>
  </si>
  <si>
    <t>MCA 3 North- Exam Room</t>
  </si>
  <si>
    <t>Weaver, Devin</t>
  </si>
  <si>
    <t>Whitney, Kelly</t>
  </si>
  <si>
    <t>Renown Health 2024 Master Plan</t>
  </si>
  <si>
    <t>Dias, Ashley</t>
  </si>
  <si>
    <t>BSWI AHU Replacement</t>
  </si>
  <si>
    <t>Sinnett, Ian</t>
  </si>
  <si>
    <t>BSWH Plano - Sterilizer Replacement</t>
  </si>
  <si>
    <t>BSWM Master Plan</t>
  </si>
  <si>
    <t>BSWI Rad Room Replacement</t>
  </si>
  <si>
    <t>BSWH Plano - Brain &amp; Spine Suite 800 Ren</t>
  </si>
  <si>
    <t>Hellem, Nicole</t>
  </si>
  <si>
    <t>THCDS Seay Center-Doors</t>
  </si>
  <si>
    <t>Collins, David</t>
  </si>
  <si>
    <t>MHS: Corporate Office POB Study</t>
  </si>
  <si>
    <t>Roan, Mark</t>
  </si>
  <si>
    <r>
      <rPr>
        <rFont val="Calibri"/>
        <color theme="1"/>
        <sz val="12.0"/>
      </rPr>
      <t xml:space="preserve">MRMC: Retail Pharmacy Expansion </t>
    </r>
    <r>
      <rPr>
        <rFont val="Calibri"/>
        <b/>
        <color rgb="FFC00000"/>
        <sz val="12.0"/>
      </rPr>
      <t>Study</t>
    </r>
  </si>
  <si>
    <r>
      <rPr>
        <rFont val="Calibri"/>
        <color theme="1"/>
        <sz val="12.0"/>
      </rPr>
      <t xml:space="preserve">MRMC: CVICU Pre-Design </t>
    </r>
    <r>
      <rPr>
        <rFont val="Calibri"/>
        <b/>
        <color rgb="FFC00000"/>
        <sz val="12.0"/>
      </rPr>
      <t>Study</t>
    </r>
  </si>
  <si>
    <r>
      <rPr>
        <rFont val="Calibri"/>
        <color theme="1"/>
        <sz val="12.0"/>
      </rPr>
      <t xml:space="preserve">MRMC: Tower C Pre-Design </t>
    </r>
    <r>
      <rPr>
        <rFont val="Calibri"/>
        <b/>
        <color rgb="FFC00000"/>
        <sz val="12.0"/>
      </rPr>
      <t>Study</t>
    </r>
  </si>
  <si>
    <r>
      <rPr>
        <rFont val="Calibri"/>
        <color theme="1"/>
        <sz val="12.0"/>
      </rPr>
      <t xml:space="preserve">MRMC: New Tower Pre-Design </t>
    </r>
    <r>
      <rPr>
        <rFont val="Calibri"/>
        <b/>
        <color rgb="FFC00000"/>
        <sz val="12.0"/>
      </rPr>
      <t>Study</t>
    </r>
  </si>
  <si>
    <t>MDMC: Schenkel Tower Renovation</t>
  </si>
  <si>
    <t>7th Floor Schenkel Tower Renovation</t>
  </si>
  <si>
    <r>
      <rPr>
        <rFont val="Calibri"/>
        <color theme="1"/>
        <sz val="12.0"/>
      </rPr>
      <t xml:space="preserve">8th Floor Schenkel Tower Renovation </t>
    </r>
    <r>
      <rPr>
        <rFont val="Calibri"/>
        <b/>
        <color rgb="FFC00000"/>
        <sz val="12.0"/>
      </rPr>
      <t>(2024)</t>
    </r>
  </si>
  <si>
    <r>
      <rPr>
        <rFont val="Calibri"/>
        <color theme="1"/>
        <sz val="12.0"/>
      </rPr>
      <t>10th Floor Schenkel Tower Renovation</t>
    </r>
    <r>
      <rPr>
        <rFont val="Calibri"/>
        <b/>
        <color rgb="FFC00000"/>
        <sz val="12.0"/>
      </rPr>
      <t xml:space="preserve"> (2024)</t>
    </r>
  </si>
  <si>
    <r>
      <rPr>
        <rFont val="Calibri"/>
        <color theme="1"/>
        <sz val="12.0"/>
      </rPr>
      <t xml:space="preserve">MMMC: ED X-Ray Equipment Replacement </t>
    </r>
    <r>
      <rPr>
        <rFont val="Calibri"/>
        <b/>
        <color rgb="FFC00000"/>
        <sz val="12.0"/>
      </rPr>
      <t>(small)</t>
    </r>
  </si>
  <si>
    <r>
      <rPr>
        <rFont val="Calibri"/>
        <color theme="1"/>
        <sz val="12.0"/>
      </rPr>
      <t xml:space="preserve">MDMC: Outpatient Building </t>
    </r>
    <r>
      <rPr>
        <rFont val="Calibri"/>
        <b/>
        <color rgb="FFC00000"/>
        <sz val="12.0"/>
      </rPr>
      <t>Study</t>
    </r>
  </si>
  <si>
    <t>MMMC: SPD Cart Washer</t>
  </si>
  <si>
    <t xml:space="preserve">MMMC: </t>
  </si>
  <si>
    <t>MMMC: Fluoro Room1 equip repl</t>
  </si>
  <si>
    <t>MMMC: OBGYN OR Rennovation</t>
  </si>
  <si>
    <t>Mark Roan/Austin Madrigal</t>
  </si>
  <si>
    <t>MDMC: Sheckel - 2024</t>
  </si>
  <si>
    <t>THR: Rockwall MP 2.0</t>
  </si>
  <si>
    <t>Planning</t>
  </si>
  <si>
    <t>Confidential Site Analysis</t>
  </si>
  <si>
    <t>THR Rockwall: MRI Equipment Replacement</t>
  </si>
  <si>
    <t>Natali Brennan</t>
  </si>
  <si>
    <t>BSW Lake Pointe: Master Plan</t>
  </si>
  <si>
    <t>MRC Equip Rep</t>
  </si>
  <si>
    <t>THRW Pathology &amp; HR Add/Reno</t>
  </si>
  <si>
    <t>MDMC: Heart Center Study</t>
  </si>
  <si>
    <t>MMMC:Fluoro Room 1 Equipment Replacement</t>
  </si>
  <si>
    <t>Confidential Hospital Site Analysis</t>
  </si>
  <si>
    <t>MSMC: Heli-Pad</t>
  </si>
  <si>
    <r>
      <rPr>
        <rFont val="Calibri"/>
        <color theme="1"/>
        <sz val="12.0"/>
      </rPr>
      <t xml:space="preserve">MRMC: OR + PACU Expansion - </t>
    </r>
    <r>
      <rPr>
        <rFont val="Calibri"/>
        <b/>
        <color rgb="FFC00000"/>
        <sz val="12.0"/>
      </rPr>
      <t>2024</t>
    </r>
  </si>
  <si>
    <r>
      <rPr>
        <rFont val="Calibri"/>
        <color theme="1"/>
        <sz val="12.0"/>
      </rPr>
      <t>MMMC: Nuc Med SPECT Renovation</t>
    </r>
    <r>
      <rPr>
        <rFont val="Calibri"/>
        <b/>
        <color rgb="FFC00000"/>
        <sz val="12.0"/>
      </rPr>
      <t xml:space="preserve"> (1,000 sf)</t>
    </r>
  </si>
  <si>
    <r>
      <rPr>
        <rFont val="Calibri"/>
        <color theme="1"/>
        <sz val="12.0"/>
      </rPr>
      <t xml:space="preserve">MMMC Surgery PACU Pre Design </t>
    </r>
    <r>
      <rPr>
        <rFont val="Calibri"/>
        <b/>
        <color rgb="FFC00000"/>
        <sz val="12.0"/>
      </rPr>
      <t>Study</t>
    </r>
  </si>
  <si>
    <r>
      <rPr>
        <rFont val="Calibri"/>
        <color theme="1"/>
        <sz val="12.0"/>
      </rPr>
      <t xml:space="preserve">MDMC: Lab Phase 02 </t>
    </r>
    <r>
      <rPr>
        <rFont val="Calibri"/>
        <b/>
        <color rgb="FFC00000"/>
        <sz val="12.0"/>
      </rPr>
      <t>Study</t>
    </r>
  </si>
  <si>
    <t>THA R&amp;F Renovation</t>
  </si>
  <si>
    <t>THP OR Integration</t>
  </si>
  <si>
    <t>BUMC Retail Pharmacy Remodel</t>
  </si>
  <si>
    <r>
      <rPr>
        <rFont val="Calibri"/>
        <color theme="1"/>
        <sz val="12.0"/>
      </rPr>
      <t xml:space="preserve">THCDS Plano - AHU Replacement - </t>
    </r>
    <r>
      <rPr>
        <rFont val="Calibri"/>
        <b/>
        <color rgb="FFC00000"/>
        <sz val="12.0"/>
      </rPr>
      <t>500 sf</t>
    </r>
  </si>
  <si>
    <t>Henry Co. Proprietary Specifications</t>
  </si>
  <si>
    <t>Robinson, Jordan</t>
  </si>
  <si>
    <t>Jordan, Holly</t>
  </si>
  <si>
    <t>Amanvari Master Specifications</t>
  </si>
  <si>
    <t>ALEXANDRIA NY- ASCENT LABS &amp; ARE OFFICE</t>
  </si>
  <si>
    <t>Wicker, Sarah</t>
  </si>
  <si>
    <t>14S701.000</t>
  </si>
  <si>
    <t>Methodist Hospital S&amp;T Renovation</t>
  </si>
  <si>
    <t>Cantu, Omar</t>
  </si>
  <si>
    <t>14S701.100</t>
  </si>
  <si>
    <t>Methodist Hospital S&amp;T Reno CA Hourly</t>
  </si>
  <si>
    <t>Renown South Meadows-Contract Extension</t>
  </si>
  <si>
    <t>Reisenbichler, Thomas</t>
  </si>
  <si>
    <r>
      <rPr>
        <rFont val="Calibri"/>
        <color theme="1"/>
        <sz val="12.0"/>
      </rPr>
      <t>BSWH Plano MP Updates -</t>
    </r>
    <r>
      <rPr>
        <rFont val="Calibri"/>
        <b/>
        <color rgb="FFC00000"/>
        <sz val="12.0"/>
      </rPr>
      <t xml:space="preserve"> Master Plan</t>
    </r>
  </si>
  <si>
    <t>Wildwood FEMC</t>
  </si>
  <si>
    <r>
      <rPr>
        <rFont val="Calibri"/>
        <color theme="1"/>
        <sz val="12.0"/>
      </rPr>
      <t xml:space="preserve">Argyle Site Planning </t>
    </r>
    <r>
      <rPr>
        <rFont val="Calibri"/>
        <b/>
        <color rgb="FFC00000"/>
        <sz val="12.0"/>
      </rPr>
      <t>Study</t>
    </r>
  </si>
  <si>
    <t>Reisenbichler, Thomas/ Kenneth?</t>
  </si>
  <si>
    <t>Children’s Health Specialty Center at Re</t>
  </si>
  <si>
    <t>Razan</t>
  </si>
  <si>
    <t>Children's Health: Plano Public Space I</t>
  </si>
  <si>
    <t>Construction</t>
  </si>
  <si>
    <t>Wildwood Freestanding Emergency MC</t>
  </si>
  <si>
    <t>BSMH St Marys O2 Yard</t>
  </si>
  <si>
    <r>
      <rPr>
        <rFont val="Calibri"/>
        <color theme="1"/>
        <sz val="12.0"/>
      </rPr>
      <t xml:space="preserve">THR Rockwall: MRI Equipment Replacement - </t>
    </r>
    <r>
      <rPr>
        <rFont val="Calibri"/>
        <b/>
        <color rgb="FFC00000"/>
        <sz val="12.0"/>
      </rPr>
      <t>equip replacement only</t>
    </r>
  </si>
  <si>
    <r>
      <rPr>
        <rFont val="Calibri"/>
        <color theme="1"/>
        <sz val="12.0"/>
      </rPr>
      <t xml:space="preserve">Confidential Hospital Site Analysis - </t>
    </r>
    <r>
      <rPr>
        <rFont val="Calibri"/>
        <b/>
        <color rgb="FFC00000"/>
        <sz val="12.0"/>
      </rPr>
      <t>Study</t>
    </r>
  </si>
  <si>
    <t>DIVERSIFIED HEALTHCARE INTERIORS (6 Projects to report)</t>
  </si>
  <si>
    <r>
      <rPr>
        <rFont val="Calibri"/>
        <color rgb="FF000000"/>
        <sz val="12.0"/>
      </rPr>
      <t xml:space="preserve">BSWI Surgery Renovation - </t>
    </r>
    <r>
      <rPr>
        <rFont val="Calibri"/>
        <b/>
        <color rgb="FFC00000"/>
        <sz val="12.0"/>
      </rPr>
      <t>This is the last report</t>
    </r>
  </si>
  <si>
    <t>Diversified Healthcare</t>
  </si>
  <si>
    <t>CA Start in 2026</t>
  </si>
  <si>
    <t>Wes, Beth, Jen ?</t>
  </si>
  <si>
    <t xml:space="preserve">Wes Bowen / Beth </t>
  </si>
  <si>
    <t>Needs Embodied Carbon info (Interiors; over 5k SF)</t>
  </si>
  <si>
    <r>
      <rPr>
        <rFont val="Calibri"/>
        <color rgb="FF000000"/>
        <sz val="12.0"/>
      </rPr>
      <t xml:space="preserve">BSWI ICU Build out  (irving) - </t>
    </r>
    <r>
      <rPr>
        <rFont val="Calibri"/>
        <b/>
        <color rgb="FFC00000"/>
        <sz val="12.0"/>
      </rPr>
      <t>This is the last report</t>
    </r>
  </si>
  <si>
    <t>DORMANT</t>
  </si>
  <si>
    <t>bidding</t>
  </si>
  <si>
    <r>
      <rPr>
        <rFont val="Calibri"/>
        <color theme="1"/>
        <sz val="12.0"/>
      </rPr>
      <t xml:space="preserve">Encompass Health Fairlawn Reno - </t>
    </r>
    <r>
      <rPr>
        <rFont val="Calibri"/>
        <b/>
        <color rgb="FFC00000"/>
        <sz val="12.0"/>
      </rPr>
      <t>This is the last report</t>
    </r>
  </si>
  <si>
    <t xml:space="preserve">YES </t>
  </si>
  <si>
    <t>Ashwini / Tabita</t>
  </si>
  <si>
    <t>Ben Keyworth</t>
  </si>
  <si>
    <t>Due to scope, a lot of the petals are NA</t>
  </si>
  <si>
    <t>Tenet Health - Buckeye Hospital (prototype)</t>
  </si>
  <si>
    <t>Tenet Health Boerne Hospital (one off)</t>
  </si>
  <si>
    <t>Tenet Health- Mission Ridge Hospital (prototype)</t>
  </si>
  <si>
    <t xml:space="preserve">Wes Bowen / Urenna </t>
  </si>
  <si>
    <t>MDMC: 3ST Labor &amp; Delivery Renovation</t>
  </si>
  <si>
    <t xml:space="preserve">Mark Roan/Austin Madrigal/Kat </t>
  </si>
  <si>
    <t>HCA CJW Medical Center-Chipperton 5th Floor</t>
  </si>
  <si>
    <r>
      <rPr>
        <rFont val="Calibri"/>
        <color rgb="FF000000"/>
        <sz val="12.0"/>
      </rPr>
      <t xml:space="preserve">BSWH - Public Safety - </t>
    </r>
    <r>
      <rPr>
        <rFont val="Calibri"/>
        <b/>
        <color rgb="FFC00000"/>
        <sz val="12.0"/>
      </rPr>
      <t>Testfit / we are not sure if this will become a projct</t>
    </r>
  </si>
  <si>
    <r>
      <rPr>
        <rFont val="Calibri"/>
        <color rgb="FF000000"/>
        <sz val="12.0"/>
      </rPr>
      <t xml:space="preserve">BSWH - Aramark - </t>
    </r>
    <r>
      <rPr>
        <rFont val="Calibri"/>
        <b/>
        <color rgb="FFC00000"/>
        <sz val="12.0"/>
      </rPr>
      <t>Testfit / we are not sure if this will become a projct</t>
    </r>
  </si>
  <si>
    <t>THPPP Fluoro Equip Replace</t>
  </si>
  <si>
    <t>THPPP X-Ray Equip Replace</t>
  </si>
  <si>
    <t>Baylor Cancer Center Ceiling Finish Refresh</t>
  </si>
  <si>
    <t xml:space="preserve">Nicki Hellem / </t>
  </si>
  <si>
    <t>Renown Health South Meadows Campus Map Revisions</t>
  </si>
  <si>
    <t>BSWI 2-4 Patient Lift Replace</t>
  </si>
  <si>
    <t>Baylor Admin Sublease Study</t>
  </si>
  <si>
    <t>Amber Wernick</t>
  </si>
  <si>
    <t>Renown FF&amp;E</t>
  </si>
  <si>
    <t>Baylor Cancer Center - Ceiling Finish Refr</t>
  </si>
  <si>
    <t>MRMC : 5th Floor Finish Out</t>
  </si>
  <si>
    <t>BSWI R&amp;F Room 5 Renovation</t>
  </si>
  <si>
    <t>Replace med</t>
  </si>
  <si>
    <t>Wes</t>
  </si>
  <si>
    <t>MSMC: Women's Services Study 2.0</t>
  </si>
  <si>
    <t>MMMC: ED-CUP Expansion Study</t>
  </si>
  <si>
    <t>Tenet Health- Mission Ridge Hospital</t>
  </si>
  <si>
    <t>HC SUMMARY</t>
  </si>
  <si>
    <r>
      <rPr>
        <rFont val="Calibri"/>
        <b/>
        <color rgb="FF70AD47"/>
        <sz val="12.0"/>
      </rPr>
      <t xml:space="preserve">14 includes info
</t>
    </r>
    <r>
      <rPr>
        <rFont val="Calibri"/>
        <b/>
        <color rgb="FFC00000"/>
        <sz val="12.0"/>
      </rPr>
      <t>0 missing info</t>
    </r>
  </si>
  <si>
    <r>
      <rPr>
        <rFont val="Calibri"/>
        <b/>
        <color rgb="FF70AD47"/>
        <sz val="12.0"/>
      </rPr>
      <t xml:space="preserve">14 includes info
</t>
    </r>
    <r>
      <rPr>
        <rFont val="Calibri"/>
        <b/>
        <color rgb="FFC00000"/>
        <sz val="12.0"/>
      </rPr>
      <t>0 missing info</t>
    </r>
  </si>
  <si>
    <r>
      <rPr>
        <rFont val="Calibri"/>
        <b/>
        <color rgb="FF70AD47"/>
        <sz val="12.0"/>
      </rPr>
      <t xml:space="preserve">11 includes info
</t>
    </r>
    <r>
      <rPr>
        <rFont val="Calibri"/>
        <b/>
        <color rgb="FFC00000"/>
        <sz val="12.0"/>
      </rPr>
      <t>3 missing info</t>
    </r>
  </si>
  <si>
    <r>
      <rPr>
        <rFont val="Calibri"/>
        <b/>
        <color rgb="FF70AD47"/>
        <sz val="12.0"/>
      </rPr>
      <t xml:space="preserve">14 includes info
</t>
    </r>
    <r>
      <rPr>
        <rFont val="Calibri"/>
        <b/>
        <color rgb="FFC00000"/>
        <sz val="12.0"/>
      </rPr>
      <t>0 missing info</t>
    </r>
  </si>
  <si>
    <t>1 of 8 include energy modeling</t>
  </si>
  <si>
    <r>
      <rPr>
        <rFont val="Calibri"/>
        <b/>
        <color rgb="FFC00000"/>
        <sz val="12.0"/>
      </rPr>
      <t>Level 1 - 2</t>
    </r>
    <r>
      <rPr>
        <rFont val="Calibri"/>
        <b/>
        <color theme="5"/>
        <sz val="12.0"/>
      </rPr>
      <t xml:space="preserve">
Level 2 - 4
</t>
    </r>
    <r>
      <rPr>
        <rFont val="Calibri"/>
        <b/>
        <color theme="7"/>
        <sz val="12.0"/>
      </rPr>
      <t>Level 3 - 2</t>
    </r>
    <r>
      <rPr>
        <rFont val="Calibri"/>
        <b/>
        <color theme="5"/>
        <sz val="12.0"/>
      </rPr>
      <t xml:space="preserve">
</t>
    </r>
    <r>
      <rPr>
        <rFont val="Calibri"/>
        <b/>
        <color theme="9"/>
        <sz val="12.0"/>
      </rPr>
      <t>Level 4 - 0</t>
    </r>
    <r>
      <rPr>
        <rFont val="Calibri"/>
        <b/>
        <color theme="5"/>
        <sz val="12.0"/>
      </rPr>
      <t xml:space="preserve">
</t>
    </r>
    <r>
      <rPr>
        <rFont val="Calibri"/>
        <b/>
        <color rgb="FF548135"/>
        <sz val="12.0"/>
      </rPr>
      <t>Level 5</t>
    </r>
    <r>
      <rPr>
        <rFont val="Calibri"/>
        <b/>
        <color theme="5"/>
        <sz val="12.0"/>
      </rPr>
      <t xml:space="preserve"> </t>
    </r>
    <r>
      <rPr>
        <rFont val="Calibri"/>
        <b/>
        <color rgb="FF548135"/>
        <sz val="12.0"/>
      </rPr>
      <t>- 0</t>
    </r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</si>
  <si>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7 Not meeting target
</t>
    </r>
    <r>
      <rPr>
        <rFont val="Calibri"/>
        <b/>
        <color rgb="FFBFBFBF"/>
        <sz val="12.0"/>
      </rPr>
      <t xml:space="preserve">5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13 missing info</t>
    </r>
  </si>
  <si>
    <r>
      <rPr>
        <rFont val="Calibri"/>
        <b/>
        <color rgb="FF70AD47"/>
        <sz val="12.0"/>
      </rPr>
      <t xml:space="preserve">2 meeting target
</t>
    </r>
    <r>
      <rPr>
        <rFont val="Calibri"/>
        <b/>
        <color rgb="FFFF0000"/>
        <sz val="12.0"/>
      </rPr>
      <t xml:space="preserve">2 Not meeting target
</t>
    </r>
    <r>
      <rPr>
        <rFont val="Calibri"/>
        <b/>
        <color rgb="FFBFBFBF"/>
        <sz val="12.0"/>
      </rPr>
      <t xml:space="preserve">9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0 missing info</t>
    </r>
  </si>
  <si>
    <t>0 of 8 include Operational Carbon Calcs</t>
  </si>
  <si>
    <t>0 Pathway 1
0 Pathway 2
1 Pathway 3
13 No Pathway</t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</si>
  <si>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13 Not meeting target
</t>
    </r>
    <r>
      <rPr>
        <rFont val="Calibri"/>
        <b/>
        <color rgb="FFBFBFBF"/>
        <sz val="12.0"/>
      </rPr>
      <t xml:space="preserve">1 not in scope
</t>
    </r>
    <r>
      <rPr>
        <rFont val="Calibri"/>
        <b/>
        <color rgb="FFFFC000"/>
        <sz val="12.0"/>
      </rPr>
      <t xml:space="preserve">5 Unconfirmed
</t>
    </r>
    <r>
      <rPr>
        <rFont val="Calibri"/>
        <b/>
        <color rgb="FFBF8F00"/>
        <sz val="12.0"/>
      </rPr>
      <t>5 missing info</t>
    </r>
  </si>
  <si>
    <r>
      <rPr>
        <rFont val="Calibri"/>
        <b/>
        <color rgb="FF70AD47"/>
        <sz val="12.0"/>
      </rPr>
      <t xml:space="preserve">2 meeting target
</t>
    </r>
    <r>
      <rPr>
        <rFont val="Calibri"/>
        <b/>
        <color rgb="FFFF0000"/>
        <sz val="12.0"/>
      </rPr>
      <t xml:space="preserve">5 Not meeting target
</t>
    </r>
    <r>
      <rPr>
        <rFont val="Calibri"/>
        <b/>
        <color rgb="FFBFBFBF"/>
        <sz val="12.0"/>
      </rPr>
      <t xml:space="preserve">5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4 missing info</t>
    </r>
  </si>
  <si>
    <t>3 of 13 include resiliency analysis</t>
  </si>
  <si>
    <t>12 of 13</t>
  </si>
  <si>
    <t xml:space="preserve">HEALTHCARE HCA </t>
  </si>
  <si>
    <t xml:space="preserve">HCA Good Sam Replacement Hosp </t>
  </si>
  <si>
    <t>Healthcare HCA</t>
  </si>
  <si>
    <t>Vu / Omar / ERIC D. (SPM)</t>
  </si>
  <si>
    <r>
      <rPr>
        <rFont val="Calibri"/>
        <color rgb="FF000000"/>
        <sz val="12.0"/>
      </rPr>
      <t>HCA Good Sam Powerhouse</t>
    </r>
    <r>
      <rPr>
        <rFont val="Calibri"/>
        <b/>
        <color rgb="FFC00000"/>
        <sz val="12.0"/>
      </rPr>
      <t xml:space="preserve"> (this is the same as above)</t>
    </r>
  </si>
  <si>
    <t>Vu / Lawrence</t>
  </si>
  <si>
    <r>
      <rPr>
        <rFont val="Calibri"/>
        <color theme="1"/>
        <sz val="12.0"/>
      </rPr>
      <t xml:space="preserve">HCA South Strand Medical Center - </t>
    </r>
    <r>
      <rPr>
        <rFont val="Calibri"/>
        <b/>
        <color rgb="FFC00000"/>
        <sz val="12.0"/>
      </rPr>
      <t>This is the last year</t>
    </r>
  </si>
  <si>
    <t>Matt Enslin</t>
  </si>
  <si>
    <r>
      <rPr>
        <rFont val="Calibri"/>
        <color theme="1"/>
        <sz val="12.0"/>
      </rPr>
      <t xml:space="preserve">HCA-St. Marks Cath Lab </t>
    </r>
    <r>
      <rPr>
        <rFont val="Calibri"/>
        <b/>
        <color rgb="FFC00000"/>
        <sz val="12.0"/>
      </rPr>
      <t>(ends in 2026)</t>
    </r>
  </si>
  <si>
    <t>Now Devin W</t>
  </si>
  <si>
    <r>
      <rPr>
        <rFont val="Calibri"/>
        <color theme="1"/>
        <sz val="12.0"/>
      </rPr>
      <t xml:space="preserve">Encompass Health Charleston (MUSC) </t>
    </r>
    <r>
      <rPr>
        <rFont val="Calibri"/>
        <b/>
        <color rgb="FFC00000"/>
        <sz val="12.0"/>
      </rPr>
      <t>- This is the last report</t>
    </r>
  </si>
  <si>
    <t>Bidding</t>
  </si>
  <si>
    <t>Tabita Daolio</t>
  </si>
  <si>
    <r>
      <rPr>
        <rFont val="Calibri"/>
        <color theme="1"/>
        <sz val="12.0"/>
      </rPr>
      <t>HCA-Kyle FSER -</t>
    </r>
    <r>
      <rPr>
        <rFont val="Calibri"/>
        <b/>
        <color rgb="FFC00000"/>
        <sz val="12.0"/>
      </rPr>
      <t xml:space="preserve"> This is the last year</t>
    </r>
  </si>
  <si>
    <t>Devin Weaver</t>
  </si>
  <si>
    <r>
      <rPr>
        <rFont val="Calibri"/>
        <color theme="1"/>
        <sz val="12.0"/>
      </rPr>
      <t>Encompass Health Tustin Expansion -</t>
    </r>
    <r>
      <rPr>
        <rFont val="Calibri"/>
        <b/>
        <color rgb="FFC00000"/>
        <sz val="12.0"/>
      </rPr>
      <t xml:space="preserve"> This is the last year</t>
    </r>
  </si>
  <si>
    <t>Ben Keyworth / Alex Phng</t>
  </si>
  <si>
    <r>
      <rPr>
        <rFont val="Calibri"/>
        <color theme="1"/>
        <sz val="12.0"/>
      </rPr>
      <t xml:space="preserve">Encompass Health San Antonio - </t>
    </r>
    <r>
      <rPr>
        <rFont val="Calibri"/>
        <b/>
        <color rgb="FFC00000"/>
        <sz val="12.0"/>
      </rPr>
      <t>This is the last year</t>
    </r>
  </si>
  <si>
    <t>Ben Keyworth / Tabita D</t>
  </si>
  <si>
    <r>
      <rPr>
        <rFont val="Calibri"/>
        <color theme="1"/>
        <sz val="12.0"/>
      </rPr>
      <t xml:space="preserve">Encompass Health Bangor - </t>
    </r>
    <r>
      <rPr>
        <rFont val="Calibri"/>
        <b/>
        <color rgb="FFC00000"/>
        <sz val="12.0"/>
      </rPr>
      <t>This is the last year</t>
    </r>
  </si>
  <si>
    <t>HCA CJW Med Ctr-Chippenham 5th Floor</t>
  </si>
  <si>
    <t>Ben Keyworth/ Jalyn McDowell</t>
  </si>
  <si>
    <t>HCA Medical City Alliance ED Expansion</t>
  </si>
  <si>
    <r>
      <rPr>
        <rFont val="Calibri"/>
        <color rgb="FF000000"/>
        <sz val="12.0"/>
      </rPr>
      <t xml:space="preserve">Encompass Health St. George - </t>
    </r>
    <r>
      <rPr>
        <rFont val="Calibri"/>
        <b/>
        <color rgb="FFC00000"/>
        <sz val="12.0"/>
      </rPr>
      <t>This is the last year</t>
    </r>
  </si>
  <si>
    <r>
      <rPr>
        <rFont val="Calibri"/>
        <color rgb="FF000000"/>
        <sz val="12.0"/>
      </rPr>
      <t xml:space="preserve">Encompass Beverly  - </t>
    </r>
    <r>
      <rPr>
        <rFont val="Calibri"/>
        <b/>
        <color rgb="FFC00000"/>
        <sz val="12.0"/>
      </rPr>
      <t>This is the last report</t>
    </r>
  </si>
  <si>
    <t>Ben Keyworth / Mohamed</t>
  </si>
  <si>
    <t>Encompass Health North Las Vegas</t>
  </si>
  <si>
    <t>Ingrid Aboujaoude</t>
  </si>
  <si>
    <r>
      <rPr>
        <rFont val="Calibri"/>
        <color rgb="FF000000"/>
        <sz val="12.0"/>
      </rPr>
      <t xml:space="preserve">HCA - CCMC Bay Area Bed Tower Exp </t>
    </r>
    <r>
      <rPr>
        <rFont val="Calibri"/>
        <b/>
        <color rgb="FFC00000"/>
        <sz val="12.0"/>
      </rPr>
      <t>(Has time available)</t>
    </r>
  </si>
  <si>
    <r>
      <rPr>
        <rFont val="Calibri"/>
        <color rgb="FF000000"/>
        <sz val="12.0"/>
      </rPr>
      <t xml:space="preserve">HCA - CCMA Doctor's Regional ICU CVICU R </t>
    </r>
    <r>
      <rPr>
        <rFont val="Calibri"/>
        <b/>
        <color rgb="FFC00000"/>
        <sz val="12.0"/>
      </rPr>
      <t>(same as above)</t>
    </r>
  </si>
  <si>
    <t>Encompass Health Desert</t>
  </si>
  <si>
    <t>HCA - medical City Fort Worth CBC Subunit</t>
  </si>
  <si>
    <t>232002 SAN</t>
  </si>
  <si>
    <r>
      <rPr>
        <rFont val="Calibri"/>
        <color rgb="FF000000"/>
        <sz val="12.0"/>
      </rPr>
      <t xml:space="preserve">Methodist Hosp Westover Hills ICU Shell - </t>
    </r>
    <r>
      <rPr>
        <rFont val="Calibri"/>
        <b/>
        <color rgb="FFC00000"/>
        <sz val="12.0"/>
      </rPr>
      <t>650sf</t>
    </r>
  </si>
  <si>
    <t>232005 SAN</t>
  </si>
  <si>
    <t>HCA Methodist Women's Service Master Plan - planning</t>
  </si>
  <si>
    <t>147967 SAN</t>
  </si>
  <si>
    <t>HCA - Methodist Hospital Parking Garage</t>
  </si>
  <si>
    <t>NO - 2026</t>
  </si>
  <si>
    <t>No Contract yet</t>
  </si>
  <si>
    <t>Carolina/ Omar</t>
  </si>
  <si>
    <r>
      <rPr>
        <rFont val="Calibri"/>
        <color rgb="FF000000"/>
        <sz val="12.0"/>
      </rPr>
      <t xml:space="preserve">HCA - St David's Hospital Kyle </t>
    </r>
    <r>
      <rPr>
        <rFont val="Calibri"/>
        <b/>
        <color rgb="FFC00000"/>
        <sz val="12.0"/>
      </rPr>
      <t>(HOLD)</t>
    </r>
  </si>
  <si>
    <t>Devin W</t>
  </si>
  <si>
    <t>HCA Methodist Hospital Main Campus</t>
  </si>
  <si>
    <t>Encompass Health Bakersfield NPC Upgrade</t>
  </si>
  <si>
    <t>Infrastructure</t>
  </si>
  <si>
    <t>HCA Mission Oaks NPC 4/5 Upgrade</t>
  </si>
  <si>
    <t>Vu</t>
  </si>
  <si>
    <t>HCA MCFW Bed Expansion</t>
  </si>
  <si>
    <t>Julie Frazier</t>
  </si>
  <si>
    <t>HCA Medical City Frisco Vert Exp - possibly going away (end of March)</t>
  </si>
  <si>
    <t>on hold - DD</t>
  </si>
  <si>
    <t>232004  SAN</t>
  </si>
  <si>
    <r>
      <rPr>
        <rFont val="Calibri"/>
        <color rgb="FF000000"/>
        <sz val="12.0"/>
      </rPr>
      <t xml:space="preserve">HCA Methodist Hospital Women's Refresh </t>
    </r>
    <r>
      <rPr>
        <rFont val="Calibri"/>
        <b/>
        <color rgb="FFC00000"/>
        <sz val="12.0"/>
      </rPr>
      <t>(New)</t>
    </r>
  </si>
  <si>
    <t>14S701.1 SAN</t>
  </si>
  <si>
    <t>Methodist SA S&amp;T Antonio Reno</t>
  </si>
  <si>
    <t>232001  SAN</t>
  </si>
  <si>
    <r>
      <rPr>
        <rFont val="Calibri"/>
        <color rgb="FF000000"/>
        <sz val="12.0"/>
      </rPr>
      <t xml:space="preserve">Methodist Hospital Women's Refresh </t>
    </r>
    <r>
      <rPr>
        <rFont val="Calibri"/>
        <b/>
        <color rgb="FFC00000"/>
        <sz val="12.0"/>
      </rPr>
      <t>(Planning only)</t>
    </r>
  </si>
  <si>
    <t>232003  SAN</t>
  </si>
  <si>
    <r>
      <rPr>
        <rFont val="Calibri"/>
        <color rgb="FF000000"/>
        <sz val="12.0"/>
      </rPr>
      <t xml:space="preserve">HCA Methodist Stone Oak Refresh </t>
    </r>
    <r>
      <rPr>
        <rFont val="Calibri"/>
        <b/>
        <color rgb="FFC00000"/>
        <sz val="12.0"/>
      </rPr>
      <t>(Cancelled)</t>
    </r>
  </si>
  <si>
    <r>
      <rPr>
        <rFont val="Calibri"/>
        <color theme="1"/>
        <sz val="12.0"/>
      </rPr>
      <t xml:space="preserve">Methodist SA S&amp;T Reno - </t>
    </r>
    <r>
      <rPr>
        <rFont val="Calibri"/>
        <b/>
        <color rgb="FFC00000"/>
        <sz val="12.0"/>
      </rPr>
      <t>(not in project app)</t>
    </r>
  </si>
  <si>
    <t>Devin Weaver/Omar</t>
  </si>
  <si>
    <r>
      <rPr>
        <rFont val="Calibri"/>
        <color theme="1"/>
        <sz val="12.0"/>
      </rPr>
      <t xml:space="preserve">Encompass Health Bangor </t>
    </r>
    <r>
      <rPr>
        <rFont val="Calibri"/>
        <b/>
        <color rgb="FFC00000"/>
        <sz val="12.0"/>
      </rPr>
      <t>(Boston 70%)</t>
    </r>
  </si>
  <si>
    <t>Ben Keyworth / LD Champion TBD</t>
  </si>
  <si>
    <r>
      <rPr>
        <rFont val="Calibri"/>
        <color theme="1"/>
        <sz val="12.0"/>
      </rPr>
      <t xml:space="preserve">Encompass Health Clinton HIH </t>
    </r>
    <r>
      <rPr>
        <rFont val="Calibri"/>
        <b/>
        <color rgb="FFC00000"/>
        <sz val="12.0"/>
      </rPr>
      <t>- Test Fit</t>
    </r>
  </si>
  <si>
    <t>Keyworth, Ben</t>
  </si>
  <si>
    <t>Test Fit</t>
  </si>
  <si>
    <t>Ben Keyworth / Jennifer Hufman</t>
  </si>
  <si>
    <r>
      <rPr>
        <rFont val="Calibri"/>
        <color theme="1"/>
        <sz val="12.0"/>
      </rPr>
      <t xml:space="preserve">Encompass Health Rehab Bridgewater </t>
    </r>
    <r>
      <rPr>
        <rFont val="Calibri"/>
        <b/>
        <color rgb="FFC00000"/>
        <sz val="12.0"/>
      </rPr>
      <t xml:space="preserve"> - Test Fit</t>
    </r>
  </si>
  <si>
    <t>Empty</t>
  </si>
  <si>
    <r>
      <rPr>
        <rFont val="Calibri"/>
        <color theme="1"/>
        <sz val="12.0"/>
      </rPr>
      <t xml:space="preserve">Encompass Health Tustin Expansion Study </t>
    </r>
    <r>
      <rPr>
        <rFont val="Calibri"/>
        <b/>
        <color rgb="FFC00000"/>
        <sz val="12.0"/>
      </rPr>
      <t xml:space="preserve"> - Test Fit</t>
    </r>
  </si>
  <si>
    <r>
      <rPr>
        <rFont val="Calibri"/>
        <color theme="1"/>
        <sz val="12.0"/>
      </rPr>
      <t xml:space="preserve">Encompass Health Rehab St George  - </t>
    </r>
    <r>
      <rPr>
        <rFont val="Calibri"/>
        <b/>
        <color rgb="FFC00000"/>
        <sz val="12.0"/>
      </rPr>
      <t>Test Fit</t>
    </r>
  </si>
  <si>
    <r>
      <rPr>
        <rFont val="Calibri"/>
        <color rgb="FF000000"/>
        <sz val="12.0"/>
      </rPr>
      <t xml:space="preserve">HCA RMCSJ ED Wait Expansion </t>
    </r>
    <r>
      <rPr>
        <rFont val="Calibri"/>
        <b/>
        <color rgb="FFC00000"/>
        <sz val="12.0"/>
      </rPr>
      <t>(HOLD)</t>
    </r>
  </si>
  <si>
    <t>Omar</t>
  </si>
  <si>
    <t>HCA - RMCSJ CA ED</t>
  </si>
  <si>
    <r>
      <rPr>
        <rFont val="Calibri"/>
        <color rgb="FF000000"/>
        <sz val="12.0"/>
      </rPr>
      <t xml:space="preserve">RMCSJ Pharmacy CA </t>
    </r>
    <r>
      <rPr>
        <rFont val="Calibri"/>
        <b/>
        <color rgb="FFC00000"/>
        <sz val="12.0"/>
      </rPr>
      <t>(HOLD)</t>
    </r>
  </si>
  <si>
    <r>
      <rPr>
        <rFont val="Calibri"/>
        <color rgb="FF000000"/>
        <sz val="12.0"/>
      </rPr>
      <t xml:space="preserve">Methodist Hosp Westover Hills ICU Shell </t>
    </r>
    <r>
      <rPr>
        <rFont val="Calibri"/>
        <b/>
        <color rgb="FFC00000"/>
        <sz val="12.0"/>
      </rPr>
      <t>(600 sf)</t>
    </r>
  </si>
  <si>
    <t>HCA Fortworth - on hold</t>
  </si>
  <si>
    <t>HCA-Mem Health Savannah NICU Ph 3</t>
  </si>
  <si>
    <t>HCA - Medical City Dallas H&amp;S Vertical Ext</t>
  </si>
  <si>
    <t>HCA-Methodist Hospital S&amp;T ICU Rehab Ren</t>
  </si>
  <si>
    <t>HCA RMC OR AHU Assessment</t>
  </si>
  <si>
    <t>HC HCA SUMMARY</t>
  </si>
  <si>
    <r>
      <rPr>
        <rFont val="Calibri"/>
        <b/>
        <color rgb="FF70AD47"/>
        <sz val="12.0"/>
      </rPr>
      <t xml:space="preserve">8 includes info
</t>
    </r>
    <r>
      <rPr>
        <rFont val="Calibri"/>
        <b/>
        <color rgb="FFC00000"/>
        <sz val="12.0"/>
      </rPr>
      <t>4 missing info</t>
    </r>
  </si>
  <si>
    <r>
      <rPr>
        <rFont val="Calibri"/>
        <b/>
        <color rgb="FF70AD47"/>
        <sz val="12.0"/>
      </rPr>
      <t xml:space="preserve">4 includes info
</t>
    </r>
    <r>
      <rPr>
        <rFont val="Calibri"/>
        <b/>
        <color rgb="FFC00000"/>
        <sz val="12.0"/>
      </rPr>
      <t>8 missing info</t>
    </r>
  </si>
  <si>
    <r>
      <rPr>
        <rFont val="Calibri"/>
        <b/>
        <color rgb="FF70AD47"/>
        <sz val="12.0"/>
      </rPr>
      <t xml:space="preserve">5 includes info
</t>
    </r>
    <r>
      <rPr>
        <rFont val="Calibri"/>
        <b/>
        <color rgb="FFC00000"/>
        <sz val="12.0"/>
      </rPr>
      <t>7 missing info</t>
    </r>
  </si>
  <si>
    <r>
      <rPr>
        <rFont val="Calibri"/>
        <b/>
        <color rgb="FF70AD47"/>
        <sz val="12.0"/>
      </rPr>
      <t xml:space="preserve">4 includes info
</t>
    </r>
    <r>
      <rPr>
        <rFont val="Calibri"/>
        <b/>
        <color rgb="FFC00000"/>
        <sz val="12.0"/>
      </rPr>
      <t>8 missing info</t>
    </r>
  </si>
  <si>
    <t>3 of 12 include energy modeling</t>
  </si>
  <si>
    <r>
      <rPr>
        <rFont val="Calibri"/>
        <b/>
        <color rgb="FFC00000"/>
        <sz val="12.0"/>
      </rPr>
      <t>Level 1 - 7</t>
    </r>
    <r>
      <rPr>
        <rFont val="Calibri"/>
        <b/>
        <color theme="5"/>
        <sz val="12.0"/>
      </rPr>
      <t xml:space="preserve">
Level 2 - 2
</t>
    </r>
    <r>
      <rPr>
        <rFont val="Calibri"/>
        <b/>
        <color theme="7"/>
        <sz val="12.0"/>
      </rPr>
      <t>Level 3 - 0</t>
    </r>
    <r>
      <rPr>
        <rFont val="Calibri"/>
        <b/>
        <color theme="5"/>
        <sz val="12.0"/>
      </rPr>
      <t xml:space="preserve">
</t>
    </r>
    <r>
      <rPr>
        <rFont val="Calibri"/>
        <b/>
        <color theme="9"/>
        <sz val="12.0"/>
      </rPr>
      <t>Level 4 - 0</t>
    </r>
    <r>
      <rPr>
        <rFont val="Calibri"/>
        <b/>
        <color theme="5"/>
        <sz val="12.0"/>
      </rPr>
      <t xml:space="preserve">
</t>
    </r>
    <r>
      <rPr>
        <rFont val="Calibri"/>
        <b/>
        <color rgb="FF548135"/>
        <sz val="12.0"/>
      </rPr>
      <t>Level 5</t>
    </r>
    <r>
      <rPr>
        <rFont val="Calibri"/>
        <b/>
        <color theme="5"/>
        <sz val="12.0"/>
      </rPr>
      <t xml:space="preserve"> </t>
    </r>
    <r>
      <rPr>
        <rFont val="Calibri"/>
        <b/>
        <color rgb="FF548135"/>
        <sz val="12.0"/>
      </rPr>
      <t>- 0</t>
    </r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</si>
  <si>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12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1 Unconfirmed
</t>
    </r>
    <r>
      <rPr>
        <rFont val="Calibri"/>
        <b/>
        <color rgb="FFBF8F00"/>
        <sz val="12.0"/>
      </rPr>
      <t>13 missing info</t>
    </r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</si>
  <si>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0 Not meeting target
</t>
    </r>
    <r>
      <rPr>
        <rFont val="Calibri"/>
        <b/>
        <color rgb="FFBFBFBF"/>
        <sz val="12.0"/>
      </rPr>
      <t xml:space="preserve">8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6 missing info</t>
    </r>
  </si>
  <si>
    <t>1 Pathway 1
2 Pathway 2
0 Pathway 3
3 No Pathway</t>
  </si>
  <si>
    <r>
      <rPr>
        <rFont val="Calibri"/>
        <b/>
        <color rgb="FF70AD47"/>
        <sz val="12.0"/>
      </rPr>
      <t xml:space="preserve">2 meeting target
</t>
    </r>
    <r>
      <rPr>
        <rFont val="Calibri"/>
        <b/>
        <color rgb="FFFF0000"/>
        <sz val="12.0"/>
      </rPr>
      <t xml:space="preserve">6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4 missing info</t>
    </r>
  </si>
  <si>
    <r>
      <rPr>
        <rFont val="Calibri"/>
        <b/>
        <color rgb="FF70AD47"/>
        <sz val="12.0"/>
      </rPr>
      <t xml:space="preserve">2 meeting target
</t>
    </r>
    <r>
      <rPr>
        <rFont val="Calibri"/>
        <b/>
        <color rgb="FFFF0000"/>
        <sz val="12.0"/>
      </rPr>
      <t xml:space="preserve">4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0 Unconfirmed
</t>
    </r>
    <r>
      <rPr>
        <rFont val="Calibri"/>
        <b/>
        <color rgb="FFBF8F00"/>
        <sz val="12.0"/>
      </rPr>
      <t>4 missing info</t>
    </r>
  </si>
  <si>
    <t>3 of 12 include resiliency analysis</t>
  </si>
  <si>
    <t>4 of 12</t>
  </si>
  <si>
    <t>WORKPLACE (6 projects eligible for Y/E), 2 TBD</t>
  </si>
  <si>
    <t>Hockaday Lower School Re</t>
  </si>
  <si>
    <t>Workplace</t>
  </si>
  <si>
    <t>Monse/Nada/Courtney</t>
  </si>
  <si>
    <t>Koko Nomura</t>
  </si>
  <si>
    <t>LJA - New Braunfels-Finish Out</t>
  </si>
  <si>
    <r>
      <rPr>
        <rFont val="Calibri"/>
        <color theme="1"/>
        <sz val="12.0"/>
      </rPr>
      <t xml:space="preserve">FRB-NIT Space Repurpose  - </t>
    </r>
    <r>
      <rPr>
        <rFont val="Calibri"/>
        <b/>
        <color rgb="FFC00000"/>
        <sz val="12.0"/>
      </rPr>
      <t>Last report is this year</t>
    </r>
  </si>
  <si>
    <t>Dana Weldon</t>
  </si>
  <si>
    <t>EY Dallas Phase 2</t>
  </si>
  <si>
    <t>DD/CD</t>
  </si>
  <si>
    <t>Dana Weldon/ Courtney Johnson</t>
  </si>
  <si>
    <t>EY San Francisco CA</t>
  </si>
  <si>
    <t>Design</t>
  </si>
  <si>
    <r>
      <rPr>
        <rFont val="Calibri"/>
        <color theme="1"/>
        <sz val="12.0"/>
      </rPr>
      <t xml:space="preserve">Mr Cooper  - </t>
    </r>
    <r>
      <rPr>
        <rFont val="Calibri"/>
        <b/>
        <color rgb="FFC00000"/>
        <sz val="12.0"/>
      </rPr>
      <t>Last report is this year</t>
    </r>
  </si>
  <si>
    <t>Amber Wernik / Caroline</t>
  </si>
  <si>
    <r>
      <rPr>
        <rFont val="Calibri"/>
        <color theme="1"/>
        <sz val="12.0"/>
      </rPr>
      <t xml:space="preserve">BofA 3rd Fl GO  - </t>
    </r>
    <r>
      <rPr>
        <rFont val="Calibri"/>
        <b/>
        <color rgb="FFC00000"/>
        <sz val="12.0"/>
      </rPr>
      <t>Last report is this year</t>
    </r>
  </si>
  <si>
    <t>Melissa Cookesey</t>
  </si>
  <si>
    <t>EY - Fort Worth</t>
  </si>
  <si>
    <t>EY - Austin</t>
  </si>
  <si>
    <r>
      <rPr>
        <rFont val="Calibri"/>
        <color theme="1"/>
        <sz val="12.0"/>
      </rPr>
      <t xml:space="preserve">Hockaday Student Center - </t>
    </r>
    <r>
      <rPr>
        <rFont val="Calibri"/>
        <b/>
        <color rgb="FFC00000"/>
        <sz val="12.0"/>
      </rPr>
      <t>On Hold</t>
    </r>
  </si>
  <si>
    <r>
      <rPr>
        <rFont val="Calibri"/>
        <color theme="1"/>
        <sz val="12.0"/>
      </rPr>
      <t xml:space="preserve">22DFW </t>
    </r>
    <r>
      <rPr>
        <rFont val="Calibri"/>
        <b/>
        <color rgb="FFC00000"/>
        <sz val="12.0"/>
      </rPr>
      <t>(starting on 2026)</t>
    </r>
  </si>
  <si>
    <t>TestFit</t>
  </si>
  <si>
    <t>Divcon Controls Reno (a little more than a Test Fit)</t>
  </si>
  <si>
    <t>done</t>
  </si>
  <si>
    <t>Amber Wernik / Razan</t>
  </si>
  <si>
    <t>JLL Father - Test Fit</t>
  </si>
  <si>
    <t>Amber Wernik</t>
  </si>
  <si>
    <t>Ocean Healthcare</t>
  </si>
  <si>
    <t>Farther Dallas Office</t>
  </si>
  <si>
    <t>FRB - LEU Bollard Replacement</t>
  </si>
  <si>
    <t>Tiny Proj</t>
  </si>
  <si>
    <t>National Medal of Honor Museum</t>
  </si>
  <si>
    <t>just fixtures</t>
  </si>
  <si>
    <t>Courtney Johnston</t>
  </si>
  <si>
    <t>Bank of America - Conroe Merrill Cashier</t>
  </si>
  <si>
    <t>Bank of America - 4500 Amon Carter E</t>
  </si>
  <si>
    <r>
      <rPr>
        <rFont val="Calibri"/>
        <color theme="1"/>
        <sz val="12.0"/>
      </rPr>
      <t>Bank of America - Merill - Marble Falls -</t>
    </r>
    <r>
      <rPr>
        <rFont val="Calibri"/>
        <b/>
        <color rgb="FFC00000"/>
        <sz val="12.0"/>
      </rPr>
      <t xml:space="preserve"> material selection scope</t>
    </r>
  </si>
  <si>
    <t>CI SUMMARY</t>
  </si>
  <si>
    <r>
      <rPr>
        <rFont val="Calibri"/>
        <b/>
        <color rgb="FF70AD47"/>
        <sz val="12.0"/>
      </rPr>
      <t xml:space="preserve">4 includes info
</t>
    </r>
    <r>
      <rPr>
        <rFont val="Calibri"/>
        <b/>
        <color rgb="FFC00000"/>
        <sz val="12.0"/>
      </rPr>
      <t>8 missing info</t>
    </r>
  </si>
  <si>
    <r>
      <rPr>
        <rFont val="Calibri"/>
        <b/>
        <color rgb="FF70AD47"/>
        <sz val="12.0"/>
      </rPr>
      <t xml:space="preserve">2 includes info
</t>
    </r>
    <r>
      <rPr>
        <rFont val="Calibri"/>
        <b/>
        <color rgb="FFC00000"/>
        <sz val="12.0"/>
      </rPr>
      <t>10 missing info</t>
    </r>
  </si>
  <si>
    <r>
      <rPr>
        <rFont val="Calibri"/>
        <b/>
        <color rgb="FF70AD47"/>
        <sz val="12.0"/>
      </rPr>
      <t xml:space="preserve">3 includes info
</t>
    </r>
    <r>
      <rPr>
        <rFont val="Calibri"/>
        <b/>
        <color rgb="FFC00000"/>
        <sz val="12.0"/>
      </rPr>
      <t>9 missing info</t>
    </r>
  </si>
  <si>
    <r>
      <rPr>
        <rFont val="Calibri"/>
        <b/>
        <color rgb="FF70AD47"/>
        <sz val="12.0"/>
      </rPr>
      <t xml:space="preserve">4 includes info
</t>
    </r>
    <r>
      <rPr>
        <rFont val="Calibri"/>
        <b/>
        <color rgb="FFC00000"/>
        <sz val="12.0"/>
      </rPr>
      <t>8 missing info</t>
    </r>
  </si>
  <si>
    <r>
      <rPr>
        <rFont val="Calibri"/>
        <b/>
        <color rgb="FF70AD47"/>
        <sz val="12.0"/>
      </rPr>
      <t xml:space="preserve">2 meeting target
</t>
    </r>
    <r>
      <rPr>
        <rFont val="Calibri"/>
        <b/>
        <color rgb="FFFF0000"/>
        <sz val="12.0"/>
      </rPr>
      <t xml:space="preserve">4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2 Unconfirmed
</t>
    </r>
    <r>
      <rPr>
        <rFont val="Calibri"/>
        <b/>
        <color rgb="FFBF8F00"/>
        <sz val="12.0"/>
      </rPr>
      <t>5 missing info</t>
    </r>
  </si>
  <si>
    <t>2 Pathway 1
1 Pathway 2
0 Pathway 3
1 No Pathway</t>
  </si>
  <si>
    <r>
      <rPr>
        <rFont val="Calibri"/>
        <b/>
        <color rgb="FF70AD47"/>
        <sz val="12.0"/>
      </rPr>
      <t xml:space="preserve">0 meeting target
</t>
    </r>
    <r>
      <rPr>
        <rFont val="Calibri"/>
        <b/>
        <color rgb="FFFF0000"/>
        <sz val="12.0"/>
      </rPr>
      <t xml:space="preserve">2 Not meeting target
</t>
    </r>
    <r>
      <rPr>
        <rFont val="Calibri"/>
        <b/>
        <color rgb="FFBFBFBF"/>
        <sz val="12.0"/>
      </rPr>
      <t xml:space="preserve">0 not in scope
</t>
    </r>
    <r>
      <rPr>
        <rFont val="Calibri"/>
        <b/>
        <color rgb="FFFFC000"/>
        <sz val="12.0"/>
      </rPr>
      <t xml:space="preserve">2 Unconfirmed
</t>
    </r>
    <r>
      <rPr>
        <rFont val="Calibri"/>
        <b/>
        <color rgb="FFBF8F00"/>
        <sz val="12.0"/>
      </rPr>
      <t>4 missing info</t>
    </r>
  </si>
  <si>
    <t>3 of 8 include resiliency analysis</t>
  </si>
  <si>
    <t>3 of 8</t>
  </si>
  <si>
    <t>LJA Round Rock TX Test Fit</t>
  </si>
  <si>
    <t>LJA Tampa FL Test Fit</t>
  </si>
  <si>
    <t>Acadian TI</t>
  </si>
  <si>
    <t xml:space="preserve">EY Austin "Test Fit" </t>
  </si>
  <si>
    <t>Courtney</t>
  </si>
  <si>
    <t>Hockday Lower School Renovation</t>
  </si>
  <si>
    <t>Hockday - Master Plan</t>
  </si>
  <si>
    <t>Micah Davis</t>
  </si>
  <si>
    <t>Hockday - Maintenance Trailer Replacement</t>
  </si>
  <si>
    <t xml:space="preserve">Hockday </t>
  </si>
  <si>
    <t>BSWH - Public Safety</t>
  </si>
  <si>
    <t>Bank of America</t>
  </si>
  <si>
    <t xml:space="preserve">FRB - </t>
  </si>
  <si>
    <t>Republic Finance - should be done</t>
  </si>
  <si>
    <t>EY Stamford Renovation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</si>
</sst>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1.0"/>
      <color theme="1"/>
      <name val="Calibri"/>
      <scheme val="minor"/>
    </font>
    <font>
      <sz val="12.0"/>
      <color theme="0"/>
      <name val="Calibri"/>
    </font>
    <font>
      <b/>
      <sz val="12.0"/>
      <color theme="0"/>
      <name val="Calibri"/>
    </font>
    <font/>
    <font>
      <b/>
      <sz val="12.0"/>
      <color rgb="FFFFFFFF"/>
      <name val="Calibri"/>
    </font>
    <font>
      <sz val="11.0"/>
      <color theme="1"/>
      <name val="Calibri"/>
    </font>
    <font>
      <b/>
      <sz val="11.0"/>
      <color rgb="FFC00000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9"/>
      <name val="Calibri"/>
    </font>
    <font>
      <b/>
      <sz val="12.0"/>
      <color theme="5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b/>
      <sz val="12.0"/>
      <color rgb="FFFF0000"/>
      <name val="Calibri"/>
    </font>
    <font>
      <b/>
      <sz val="12.0"/>
      <color rgb="FFAEABAB"/>
      <name val="Calibri"/>
    </font>
    <font>
      <b/>
      <sz val="12.0"/>
      <color rgb="FF70AD47"/>
      <name val="Calibri"/>
    </font>
    <font>
      <b/>
      <sz val="12.0"/>
      <color rgb="FFBFBFBF"/>
      <name val="Calibri"/>
    </font>
    <font>
      <b/>
      <sz val="12.0"/>
      <color rgb="FFED7D31"/>
      <name val="Calibri"/>
    </font>
    <font>
      <b/>
      <sz val="12.0"/>
      <color theme="7"/>
      <name val="Calibri"/>
    </font>
    <font>
      <sz val="12.0"/>
      <color rgb="FFFF0000"/>
      <name val="Calibri"/>
    </font>
    <font>
      <sz val="12.0"/>
      <color rgb="FFC00000"/>
      <name val="Calibri"/>
    </font>
    <font>
      <sz val="12.0"/>
      <color rgb="FFBFBFB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E2EFD9"/>
        <bgColor rgb="FFE2EFD9"/>
      </patternFill>
    </fill>
    <fill>
      <patternFill patternType="solid">
        <fgColor rgb="FFBDD7EE"/>
        <bgColor rgb="FFBDD7EE"/>
      </patternFill>
    </fill>
    <fill>
      <patternFill patternType="solid">
        <fgColor rgb="FFBDD6EE"/>
        <bgColor rgb="FFBDD6EE"/>
      </patternFill>
    </fill>
    <fill>
      <patternFill patternType="solid">
        <fgColor rgb="FFDBDBDB"/>
        <bgColor rgb="FFDBDBDB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</fills>
  <borders count="31">
    <border/>
    <border>
      <left style="medium">
        <color rgb="FFFFFFFF"/>
      </left>
      <right/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left style="thin">
        <color rgb="FFFFFFFF"/>
      </left>
      <top/>
      <bottom/>
    </border>
    <border>
      <top/>
      <bottom/>
    </border>
    <border>
      <right/>
      <top/>
      <bottom/>
    </border>
    <border>
      <left style="thin">
        <color rgb="FFFFFFFF"/>
      </left>
      <right/>
      <top/>
      <bottom style="medium">
        <color rgb="FFFFFFFF"/>
      </bottom>
    </border>
    <border>
      <left style="thin">
        <color rgb="FFFFFFFF"/>
      </left>
      <right/>
      <top/>
      <bottom/>
    </border>
    <border>
      <left style="thin">
        <color rgb="FFFFFFFF"/>
      </left>
      <right style="medium">
        <color rgb="FFFFFFFF"/>
      </right>
      <top/>
      <bottom/>
    </border>
    <border>
      <left/>
      <right/>
      <top/>
      <bottom/>
    </border>
    <border>
      <left style="thin">
        <color theme="0"/>
      </left>
      <right style="medium">
        <color rgb="FFFFFFFF"/>
      </right>
      <top style="thin">
        <color theme="0"/>
      </top>
      <bottom style="thin">
        <color theme="0"/>
      </bottom>
    </border>
    <border>
      <left style="thin">
        <color rgb="FFFFFFFF"/>
      </left>
      <right style="thin">
        <color rgb="FFFFFFFF"/>
      </right>
      <top style="thin">
        <color theme="0"/>
      </top>
      <bottom style="thin">
        <color theme="0"/>
      </bottom>
    </border>
    <border>
      <left/>
      <right style="thin">
        <color rgb="FFFFFFFF"/>
      </right>
      <top style="thin">
        <color theme="0"/>
      </top>
      <bottom/>
    </border>
    <border>
      <left style="thin">
        <color rgb="FFFFFFFF"/>
      </left>
      <top/>
      <bottom style="medium">
        <color rgb="FFFFFFFF"/>
      </bottom>
    </border>
    <border>
      <right/>
      <top/>
      <bottom style="medium">
        <color rgb="FFFFFFFF"/>
      </bottom>
    </border>
    <border>
      <left style="thin">
        <color rgb="FFFFFFFF"/>
      </left>
      <top style="thin">
        <color theme="0"/>
      </top>
      <bottom style="medium">
        <color rgb="FFFFFFFF"/>
      </bottom>
    </border>
    <border>
      <right/>
      <top style="thin">
        <color theme="0"/>
      </top>
      <bottom style="medium">
        <color rgb="FFFFFFFF"/>
      </bottom>
    </border>
    <border>
      <left style="thin">
        <color rgb="FFFFFFFF"/>
      </left>
      <top style="thin">
        <color theme="0"/>
      </top>
      <bottom/>
    </border>
    <border>
      <right/>
      <top style="thin">
        <color theme="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2" fillId="2" fontId="2" numFmtId="0" xfId="0" applyAlignment="1" applyBorder="1" applyFont="1">
      <alignment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2" numFmtId="0" xfId="0" applyAlignment="1" applyBorder="1" applyFont="1">
      <alignment horizontal="center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2" fontId="2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2" fontId="2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9" fillId="2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22" fillId="4" fontId="9" numFmtId="2" xfId="0" applyAlignment="1" applyBorder="1" applyFill="1" applyFont="1" applyNumberFormat="1">
      <alignment horizontal="center" shrinkToFit="0" vertical="center" wrapText="1"/>
    </xf>
    <xf borderId="23" fillId="4" fontId="9" numFmtId="2" xfId="0" applyAlignment="1" applyBorder="1" applyFont="1" applyNumberFormat="1">
      <alignment horizontal="center" shrinkToFit="0" vertical="center" wrapText="1"/>
    </xf>
    <xf borderId="24" fillId="4" fontId="9" numFmtId="2" xfId="0" applyAlignment="1" applyBorder="1" applyFont="1" applyNumberFormat="1">
      <alignment horizontal="center" shrinkToFit="0" vertical="center" wrapText="1"/>
    </xf>
    <xf borderId="24" fillId="4" fontId="9" numFmtId="0" xfId="0" applyAlignment="1" applyBorder="1" applyFont="1">
      <alignment horizontal="center" shrinkToFit="0" vertical="center" wrapText="1"/>
    </xf>
    <xf borderId="25" fillId="4" fontId="5" numFmtId="0" xfId="0" applyAlignment="1" applyBorder="1" applyFont="1">
      <alignment horizontal="center" shrinkToFit="0" vertical="center" wrapText="1"/>
    </xf>
    <xf borderId="25" fillId="4" fontId="5" numFmtId="2" xfId="0" applyAlignment="1" applyBorder="1" applyFont="1" applyNumberFormat="1">
      <alignment horizontal="center"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26" fillId="5" fontId="9" numFmtId="9" xfId="0" applyAlignment="1" applyBorder="1" applyFill="1" applyFont="1" applyNumberFormat="1">
      <alignment horizontal="center" shrinkToFit="0" vertical="center" wrapText="1"/>
    </xf>
    <xf borderId="27" fillId="5" fontId="9" numFmtId="0" xfId="0" applyAlignment="1" applyBorder="1" applyFont="1">
      <alignment horizontal="center" shrinkToFit="0" vertical="center" wrapText="1"/>
    </xf>
    <xf borderId="25" fillId="6" fontId="5" numFmtId="0" xfId="0" applyAlignment="1" applyBorder="1" applyFill="1" applyFont="1">
      <alignment horizontal="center" shrinkToFit="0" vertical="center" wrapText="1"/>
    </xf>
    <xf borderId="12" fillId="5" fontId="9" numFmtId="0" xfId="0" applyAlignment="1" applyBorder="1" applyFont="1">
      <alignment horizontal="center" shrinkToFit="0" vertical="center" wrapText="1"/>
    </xf>
    <xf borderId="12" fillId="7" fontId="11" numFmtId="0" xfId="0" applyBorder="1" applyFill="1" applyFont="1"/>
    <xf borderId="12" fillId="7" fontId="12" numFmtId="0" xfId="0" applyBorder="1" applyFont="1"/>
    <xf borderId="12" fillId="7" fontId="13" numFmtId="0" xfId="0" applyAlignment="1" applyBorder="1" applyFont="1">
      <alignment horizontal="center"/>
    </xf>
    <xf borderId="12" fillId="7" fontId="13" numFmtId="0" xfId="0" applyAlignment="1" applyBorder="1" applyFont="1">
      <alignment horizontal="left"/>
    </xf>
    <xf borderId="12" fillId="7" fontId="12" numFmtId="0" xfId="0" applyAlignment="1" applyBorder="1" applyFont="1">
      <alignment horizontal="left"/>
    </xf>
    <xf borderId="12" fillId="7" fontId="12" numFmtId="0" xfId="0" applyAlignment="1" applyBorder="1" applyFont="1">
      <alignment horizontal="center"/>
    </xf>
    <xf borderId="12" fillId="7" fontId="14" numFmtId="0" xfId="0" applyAlignment="1" applyBorder="1" applyFont="1">
      <alignment horizontal="center"/>
    </xf>
    <xf borderId="12" fillId="7" fontId="15" numFmtId="2" xfId="0" applyAlignment="1" applyBorder="1" applyFont="1" applyNumberFormat="1">
      <alignment horizontal="center"/>
    </xf>
    <xf borderId="12" fillId="7" fontId="15" numFmtId="0" xfId="0" applyAlignment="1" applyBorder="1" applyFont="1">
      <alignment horizontal="center"/>
    </xf>
    <xf borderId="12" fillId="7" fontId="4" numFmtId="0" xfId="0" applyAlignment="1" applyBorder="1" applyFont="1">
      <alignment horizontal="left" shrinkToFit="0" vertical="center" wrapText="1"/>
    </xf>
    <xf borderId="12" fillId="7" fontId="4" numFmtId="0" xfId="0" applyAlignment="1" applyBorder="1" applyFont="1">
      <alignment vertical="center"/>
    </xf>
    <xf borderId="0" fillId="0" fontId="11" numFmtId="0" xfId="0" applyFont="1"/>
    <xf borderId="0" fillId="0" fontId="15" numFmtId="0" xfId="0" applyFont="1"/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12" fillId="4" fontId="16" numFmtId="0" xfId="0" applyAlignment="1" applyBorder="1" applyFont="1">
      <alignment horizontal="left"/>
    </xf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15" numFmtId="0" xfId="0" applyAlignment="1" applyFont="1">
      <alignment horizontal="left" shrinkToFit="0" wrapText="1"/>
    </xf>
    <xf borderId="12" fillId="8" fontId="14" numFmtId="0" xfId="0" applyAlignment="1" applyBorder="1" applyFill="1" applyFont="1">
      <alignment horizontal="center"/>
    </xf>
    <xf borderId="0" fillId="0" fontId="12" numFmtId="9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1" numFmtId="0" xfId="0" applyAlignment="1" applyFont="1">
      <alignment horizontal="center"/>
    </xf>
    <xf borderId="12" fillId="8" fontId="11" numFmtId="0" xfId="0" applyBorder="1" applyFont="1"/>
    <xf borderId="12" fillId="4" fontId="11" numFmtId="0" xfId="0" applyAlignment="1" applyBorder="1" applyFont="1">
      <alignment horizontal="left"/>
    </xf>
    <xf borderId="12" fillId="4" fontId="11" numFmtId="0" xfId="0" applyBorder="1" applyFont="1"/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left"/>
    </xf>
    <xf borderId="0" fillId="0" fontId="16" numFmtId="0" xfId="0" applyAlignment="1" applyFont="1">
      <alignment horizontal="center"/>
    </xf>
    <xf borderId="0" fillId="0" fontId="13" numFmtId="9" xfId="0" applyAlignment="1" applyFont="1" applyNumberFormat="1">
      <alignment horizontal="center"/>
    </xf>
    <xf borderId="12" fillId="9" fontId="12" numFmtId="9" xfId="0" applyAlignment="1" applyBorder="1" applyFill="1" applyFont="1" applyNumberFormat="1">
      <alignment horizontal="center"/>
    </xf>
    <xf borderId="0" fillId="0" fontId="16" numFmtId="0" xfId="0" applyAlignment="1" applyFont="1">
      <alignment horizontal="left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12" fillId="10" fontId="15" numFmtId="0" xfId="0" applyBorder="1" applyFill="1" applyFont="1"/>
    <xf borderId="12" fillId="10" fontId="15" numFmtId="0" xfId="0" applyAlignment="1" applyBorder="1" applyFont="1">
      <alignment horizontal="center"/>
    </xf>
    <xf borderId="12" fillId="10" fontId="15" numFmtId="0" xfId="0" applyAlignment="1" applyBorder="1" applyFont="1">
      <alignment horizontal="left"/>
    </xf>
    <xf borderId="0" fillId="0" fontId="15" numFmtId="14" xfId="0" applyAlignment="1" applyFont="1" applyNumberFormat="1">
      <alignment horizontal="center"/>
    </xf>
    <xf borderId="0" fillId="0" fontId="12" numFmtId="14" xfId="0" applyAlignment="1" applyFont="1" applyNumberFormat="1">
      <alignment horizontal="center"/>
    </xf>
    <xf borderId="12" fillId="8" fontId="13" numFmtId="9" xfId="0" applyAlignment="1" applyBorder="1" applyFont="1" applyNumberFormat="1">
      <alignment horizontal="center"/>
    </xf>
    <xf borderId="0" fillId="0" fontId="14" numFmtId="1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4" numFmtId="9" xfId="0" applyAlignment="1" applyFont="1" applyNumberFormat="1">
      <alignment horizontal="center"/>
    </xf>
    <xf borderId="28" fillId="0" fontId="15" numFmtId="0" xfId="0" applyAlignment="1" applyBorder="1" applyFont="1">
      <alignment horizontal="right"/>
    </xf>
    <xf borderId="29" fillId="0" fontId="3" numFmtId="0" xfId="0" applyBorder="1" applyFont="1"/>
    <xf borderId="28" fillId="0" fontId="13" numFmtId="0" xfId="0" applyAlignment="1" applyBorder="1" applyFont="1">
      <alignment horizontal="center"/>
    </xf>
    <xf borderId="23" fillId="0" fontId="16" numFmtId="0" xfId="0" applyAlignment="1" applyBorder="1" applyFont="1">
      <alignment horizontal="center"/>
    </xf>
    <xf borderId="23" fillId="0" fontId="15" numFmtId="0" xfId="0" applyAlignment="1" applyBorder="1" applyFont="1">
      <alignment horizontal="center"/>
    </xf>
    <xf borderId="23" fillId="0" fontId="13" numFmtId="0" xfId="0" applyAlignment="1" applyBorder="1" applyFont="1">
      <alignment horizontal="center"/>
    </xf>
    <xf borderId="23" fillId="0" fontId="13" numFmtId="9" xfId="0" applyAlignment="1" applyBorder="1" applyFont="1" applyNumberFormat="1">
      <alignment horizontal="center"/>
    </xf>
    <xf borderId="23" fillId="0" fontId="18" numFmtId="0" xfId="0" applyAlignment="1" applyBorder="1" applyFont="1">
      <alignment horizontal="center" shrinkToFit="0" vertical="center" wrapText="1"/>
    </xf>
    <xf borderId="23" fillId="0" fontId="19" numFmtId="0" xfId="0" applyAlignment="1" applyBorder="1" applyFont="1">
      <alignment horizontal="center" shrinkToFit="0" vertical="center" wrapText="1"/>
    </xf>
    <xf borderId="23" fillId="0" fontId="14" numFmtId="1" xfId="0" applyAlignment="1" applyBorder="1" applyFont="1" applyNumberFormat="1">
      <alignment horizontal="center"/>
    </xf>
    <xf borderId="23" fillId="0" fontId="14" numFmtId="2" xfId="0" applyAlignment="1" applyBorder="1" applyFont="1" applyNumberFormat="1">
      <alignment horizontal="center"/>
    </xf>
    <xf borderId="23" fillId="0" fontId="14" numFmtId="2" xfId="0" applyAlignment="1" applyBorder="1" applyFont="1" applyNumberFormat="1">
      <alignment horizontal="left" shrinkToFit="0" wrapText="1"/>
    </xf>
    <xf borderId="23" fillId="0" fontId="14" numFmtId="9" xfId="0" applyAlignment="1" applyBorder="1" applyFont="1" applyNumberFormat="1">
      <alignment horizontal="center"/>
    </xf>
    <xf borderId="23" fillId="0" fontId="14" numFmtId="0" xfId="0" applyAlignment="1" applyBorder="1" applyFont="1">
      <alignment horizontal="center"/>
    </xf>
    <xf borderId="23" fillId="8" fontId="19" numFmtId="0" xfId="0" applyAlignment="1" applyBorder="1" applyFont="1">
      <alignment horizontal="center" shrinkToFit="0" vertical="center" wrapText="1"/>
    </xf>
    <xf borderId="23" fillId="0" fontId="18" numFmtId="0" xfId="0" applyAlignment="1" applyBorder="1" applyFont="1">
      <alignment horizontal="center"/>
    </xf>
    <xf borderId="23" fillId="0" fontId="12" numFmtId="0" xfId="0" applyAlignment="1" applyBorder="1" applyFont="1">
      <alignment horizontal="center"/>
    </xf>
    <xf borderId="23" fillId="0" fontId="15" numFmtId="0" xfId="0" applyAlignment="1" applyBorder="1" applyFont="1">
      <alignment horizontal="left" shrinkToFit="0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6" numFmtId="0" xfId="0" applyAlignment="1" applyFont="1">
      <alignment horizontal="left" shrinkToFit="0" wrapText="1"/>
    </xf>
    <xf borderId="30" fillId="7" fontId="12" numFmtId="0" xfId="0" applyAlignment="1" applyBorder="1" applyFont="1">
      <alignment horizontal="left"/>
    </xf>
    <xf borderId="12" fillId="7" fontId="13" numFmtId="2" xfId="0" applyAlignment="1" applyBorder="1" applyFont="1" applyNumberFormat="1">
      <alignment horizontal="center"/>
    </xf>
    <xf borderId="12" fillId="7" fontId="1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12" numFmtId="2" xfId="0" applyAlignment="1" applyFont="1" applyNumberFormat="1">
      <alignment horizontal="center"/>
    </xf>
    <xf borderId="12" fillId="8" fontId="12" numFmtId="2" xfId="0" applyAlignment="1" applyBorder="1" applyFont="1" applyNumberFormat="1">
      <alignment horizontal="center"/>
    </xf>
    <xf borderId="0" fillId="0" fontId="20" numFmtId="0" xfId="0" applyAlignment="1" applyFont="1">
      <alignment horizontal="center"/>
    </xf>
    <xf borderId="0" fillId="0" fontId="13" numFmtId="2" xfId="0" applyAlignment="1" applyFont="1" applyNumberFormat="1">
      <alignment horizontal="center"/>
    </xf>
    <xf borderId="0" fillId="0" fontId="15" numFmtId="2" xfId="0" applyAlignment="1" applyFont="1" applyNumberFormat="1">
      <alignment horizontal="center"/>
    </xf>
    <xf borderId="12" fillId="11" fontId="11" numFmtId="0" xfId="0" applyBorder="1" applyFill="1" applyFont="1"/>
    <xf borderId="12" fillId="4" fontId="16" numFmtId="0" xfId="0" applyBorder="1" applyFont="1"/>
    <xf borderId="0" fillId="0" fontId="12" numFmtId="1" xfId="0" applyAlignment="1" applyFont="1" applyNumberFormat="1">
      <alignment horizontal="center"/>
    </xf>
    <xf borderId="0" fillId="0" fontId="21" numFmtId="0" xfId="0" applyAlignment="1" applyFont="1">
      <alignment horizontal="center"/>
    </xf>
    <xf borderId="0" fillId="0" fontId="22" numFmtId="9" xfId="0" applyAlignment="1" applyFont="1" applyNumberFormat="1">
      <alignment horizontal="center"/>
    </xf>
    <xf borderId="0" fillId="0" fontId="12" numFmtId="0" xfId="0" applyAlignment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0" fontId="16" numFmtId="0" xfId="0" applyFont="1"/>
    <xf borderId="0" fillId="0" fontId="12" numFmtId="0" xfId="0" applyFont="1"/>
    <xf borderId="0" fillId="0" fontId="11" numFmtId="14" xfId="0" applyFont="1" applyNumberFormat="1"/>
    <xf borderId="12" fillId="8" fontId="12" numFmtId="0" xfId="0" applyAlignment="1" applyBorder="1" applyFont="1">
      <alignment horizontal="center"/>
    </xf>
    <xf borderId="12" fillId="8" fontId="12" numFmtId="1" xfId="0" applyAlignment="1" applyBorder="1" applyFont="1" applyNumberFormat="1">
      <alignment horizontal="center"/>
    </xf>
    <xf borderId="12" fillId="8" fontId="12" numFmtId="9" xfId="0" applyAlignment="1" applyBorder="1" applyFont="1" applyNumberFormat="1">
      <alignment horizontal="center"/>
    </xf>
    <xf borderId="0" fillId="0" fontId="12" numFmtId="0" xfId="0" applyAlignment="1" applyFont="1">
      <alignment shrinkToFit="0" wrapText="1"/>
    </xf>
    <xf quotePrefix="1" borderId="12" fillId="4" fontId="11" numFmtId="0" xfId="0" applyAlignment="1" applyBorder="1" applyFont="1">
      <alignment horizontal="left"/>
    </xf>
    <xf borderId="0" fillId="0" fontId="15" numFmtId="9" xfId="0" applyAlignment="1" applyFont="1" applyNumberFormat="1">
      <alignment horizontal="center"/>
    </xf>
    <xf borderId="0" fillId="0" fontId="11" numFmtId="2" xfId="0" applyFont="1" applyNumberFormat="1"/>
    <xf borderId="0" fillId="0" fontId="22" numFmtId="1" xfId="0" applyAlignment="1" applyFont="1" applyNumberFormat="1">
      <alignment horizontal="center"/>
    </xf>
    <xf borderId="0" fillId="0" fontId="18" numFmtId="0" xfId="0" applyAlignment="1" applyFont="1">
      <alignment horizontal="center" shrinkToFit="0" wrapText="1"/>
    </xf>
    <xf borderId="30" fillId="10" fontId="15" numFmtId="0" xfId="0" applyAlignment="1" applyBorder="1" applyFont="1">
      <alignment horizontal="left"/>
    </xf>
    <xf borderId="0" fillId="0" fontId="21" numFmtId="9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left"/>
    </xf>
    <xf borderId="0" fillId="0" fontId="22" numFmtId="0" xfId="0" applyAlignment="1" applyFont="1">
      <alignment horizontal="center"/>
    </xf>
    <xf borderId="23" fillId="8" fontId="14" numFmtId="0" xfId="0" applyAlignment="1" applyBorder="1" applyFont="1">
      <alignment horizontal="center"/>
    </xf>
    <xf borderId="12" fillId="7" fontId="15" numFmtId="0" xfId="0" applyAlignment="1" applyBorder="1" applyFont="1">
      <alignment horizontal="center" shrinkToFit="0" vertical="center" wrapText="1"/>
    </xf>
    <xf borderId="0" fillId="0" fontId="22" numFmtId="164" xfId="0" applyAlignment="1" applyFont="1" applyNumberFormat="1">
      <alignment horizontal="center"/>
    </xf>
    <xf quotePrefix="1" borderId="0" fillId="0" fontId="11" numFmtId="0" xfId="0" applyAlignment="1" applyFont="1">
      <alignment horizontal="left"/>
    </xf>
    <xf borderId="0" fillId="0" fontId="24" numFmtId="0" xfId="0" applyFont="1"/>
    <xf borderId="12" fillId="8" fontId="22" numFmtId="1" xfId="0" applyAlignment="1" applyBorder="1" applyFont="1" applyNumberFormat="1">
      <alignment horizontal="center"/>
    </xf>
    <xf borderId="12" fillId="8" fontId="22" numFmtId="164" xfId="0" applyAlignment="1" applyBorder="1" applyFont="1" applyNumberFormat="1">
      <alignment horizontal="center"/>
    </xf>
    <xf borderId="0" fillId="0" fontId="13" numFmtId="0" xfId="0" applyAlignment="1" applyFont="1">
      <alignment horizontal="center" vertical="center"/>
    </xf>
    <xf borderId="0" fillId="0" fontId="25" numFmtId="0" xfId="0" applyFont="1"/>
    <xf borderId="0" fillId="0" fontId="26" numFmtId="0" xfId="0" applyFont="1"/>
    <xf borderId="0" fillId="0" fontId="17" numFmtId="0" xfId="0" applyAlignment="1" applyFont="1">
      <alignment horizontal="center" vertical="center"/>
    </xf>
    <xf borderId="0" fillId="0" fontId="1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13.86"/>
    <col customWidth="1" min="3" max="3" width="59.57"/>
    <col customWidth="1" min="4" max="4" width="12.0"/>
    <col customWidth="1" min="5" max="5" width="13.43"/>
    <col customWidth="1" hidden="1" min="6" max="6" width="14.43"/>
    <col customWidth="1" min="7" max="7" width="13.86"/>
    <col customWidth="1" hidden="1" min="8" max="8" width="21.14"/>
    <col customWidth="1" min="9" max="9" width="29.14"/>
    <col customWidth="1" hidden="1" min="10" max="10" width="16.14"/>
    <col customWidth="1" hidden="1" min="11" max="13" width="18.57"/>
    <col customWidth="1" hidden="1" min="14" max="14" width="2.14"/>
    <col customWidth="1" min="15" max="15" width="15.86"/>
    <col customWidth="1" min="16" max="16" width="21.86"/>
    <col customWidth="1" min="17" max="17" width="26.14"/>
    <col customWidth="1" min="18" max="19" width="19.14"/>
    <col customWidth="1" min="20" max="20" width="14.14"/>
    <col customWidth="1" min="21" max="24" width="13.86"/>
    <col customWidth="1" min="25" max="25" width="24.86"/>
    <col customWidth="1" min="26" max="28" width="13.86"/>
    <col customWidth="1" min="29" max="30" width="21.14"/>
    <col customWidth="1" min="31" max="31" width="13.86"/>
    <col customWidth="1" min="32" max="32" width="15.57"/>
    <col customWidth="1" min="33" max="33" width="14.86"/>
    <col customWidth="1" min="34" max="34" width="18.86"/>
    <col customWidth="1" min="35" max="35" width="24.14"/>
    <col customWidth="1" min="36" max="36" width="17.86"/>
    <col customWidth="1" min="37" max="38" width="20.86"/>
    <col customWidth="1" min="39" max="50" width="13.86"/>
    <col customWidth="1" min="51" max="51" width="20.86"/>
    <col customWidth="1" hidden="1" min="52" max="54" width="29.86"/>
    <col customWidth="1" min="55" max="56" width="25.57"/>
    <col customWidth="1" min="57" max="57" width="20.86"/>
    <col customWidth="1" min="58" max="58" width="54.57"/>
    <col customWidth="1" hidden="1" min="59" max="59" width="39.57"/>
    <col customWidth="1" hidden="1" min="60" max="60" width="17.14"/>
    <col customWidth="1" min="61" max="61" width="8.86"/>
    <col customWidth="1" min="62" max="62" width="10.43"/>
    <col customWidth="1" min="63" max="63" width="48.57"/>
    <col customWidth="1" min="64" max="80" width="8.86"/>
  </cols>
  <sheetData>
    <row r="1" ht="30.0" customHeight="1">
      <c r="A1" s="1"/>
      <c r="B1" s="2"/>
      <c r="C1" s="3"/>
      <c r="D1" s="4"/>
      <c r="E1" s="5"/>
      <c r="F1" s="4"/>
      <c r="G1" s="4"/>
      <c r="H1" s="4"/>
      <c r="I1" s="6"/>
      <c r="J1" s="4"/>
      <c r="K1" s="4"/>
      <c r="L1" s="4"/>
      <c r="M1" s="4"/>
      <c r="N1" s="4"/>
      <c r="O1" s="4"/>
      <c r="P1" s="7" t="s">
        <v>0</v>
      </c>
      <c r="Q1" s="8" t="s">
        <v>1</v>
      </c>
      <c r="R1" s="9" t="s">
        <v>2</v>
      </c>
      <c r="S1" s="9" t="s">
        <v>3</v>
      </c>
      <c r="T1" s="10" t="s">
        <v>4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2"/>
      <c r="AO1" s="10" t="s">
        <v>5</v>
      </c>
      <c r="AP1" s="11"/>
      <c r="AQ1" s="11"/>
      <c r="AR1" s="11"/>
      <c r="AS1" s="11"/>
      <c r="AT1" s="11"/>
      <c r="AU1" s="11"/>
      <c r="AV1" s="11"/>
      <c r="AW1" s="11"/>
      <c r="AX1" s="12"/>
      <c r="AY1" s="9" t="s">
        <v>6</v>
      </c>
      <c r="AZ1" s="13" t="s">
        <v>7</v>
      </c>
      <c r="BA1" s="14" t="s">
        <v>8</v>
      </c>
      <c r="BB1" s="14" t="s">
        <v>9</v>
      </c>
      <c r="BC1" s="15" t="s">
        <v>10</v>
      </c>
      <c r="BD1" s="16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ht="83.25" customHeight="1">
      <c r="A2" s="18"/>
      <c r="B2" s="19" t="s">
        <v>11</v>
      </c>
      <c r="C2" s="20" t="s">
        <v>12</v>
      </c>
      <c r="D2" s="21" t="s">
        <v>13</v>
      </c>
      <c r="E2" s="22" t="s">
        <v>14</v>
      </c>
      <c r="F2" s="20" t="s">
        <v>15</v>
      </c>
      <c r="G2" s="20" t="s">
        <v>16</v>
      </c>
      <c r="H2" s="20" t="s">
        <v>17</v>
      </c>
      <c r="I2" s="23" t="s">
        <v>18</v>
      </c>
      <c r="J2" s="23" t="s">
        <v>19</v>
      </c>
      <c r="K2" s="23" t="s">
        <v>20</v>
      </c>
      <c r="L2" s="23" t="s">
        <v>21</v>
      </c>
      <c r="M2" s="23" t="s">
        <v>22</v>
      </c>
      <c r="N2" s="14" t="s">
        <v>23</v>
      </c>
      <c r="O2" s="14" t="s">
        <v>24</v>
      </c>
      <c r="P2" s="13" t="s">
        <v>25</v>
      </c>
      <c r="Q2" s="13" t="s">
        <v>25</v>
      </c>
      <c r="R2" s="13" t="s">
        <v>25</v>
      </c>
      <c r="S2" s="13" t="s">
        <v>26</v>
      </c>
      <c r="T2" s="10" t="s">
        <v>27</v>
      </c>
      <c r="U2" s="11"/>
      <c r="V2" s="11"/>
      <c r="W2" s="11"/>
      <c r="X2" s="11"/>
      <c r="Y2" s="11"/>
      <c r="Z2" s="11"/>
      <c r="AA2" s="11"/>
      <c r="AB2" s="11"/>
      <c r="AC2" s="12"/>
      <c r="AD2" s="24" t="s">
        <v>28</v>
      </c>
      <c r="AE2" s="13" t="s">
        <v>29</v>
      </c>
      <c r="AF2" s="25" t="s">
        <v>30</v>
      </c>
      <c r="AG2" s="26"/>
      <c r="AH2" s="27" t="s">
        <v>31</v>
      </c>
      <c r="AI2" s="28"/>
      <c r="AJ2" s="29" t="s">
        <v>32</v>
      </c>
      <c r="AK2" s="30"/>
      <c r="AL2" s="24" t="s">
        <v>33</v>
      </c>
      <c r="AM2" s="13" t="s">
        <v>34</v>
      </c>
      <c r="AN2" s="13" t="s">
        <v>35</v>
      </c>
      <c r="AO2" s="13" t="s">
        <v>36</v>
      </c>
      <c r="AP2" s="13" t="s">
        <v>37</v>
      </c>
      <c r="AQ2" s="13" t="s">
        <v>38</v>
      </c>
      <c r="AR2" s="31" t="s">
        <v>39</v>
      </c>
      <c r="AS2" s="13" t="s">
        <v>40</v>
      </c>
      <c r="AT2" s="13" t="s">
        <v>41</v>
      </c>
      <c r="AU2" s="13" t="s">
        <v>42</v>
      </c>
      <c r="AV2" s="13" t="s">
        <v>43</v>
      </c>
      <c r="AW2" s="13" t="s">
        <v>44</v>
      </c>
      <c r="AX2" s="13" t="s">
        <v>45</v>
      </c>
      <c r="AY2" s="13" t="s">
        <v>46</v>
      </c>
      <c r="AZ2" s="13" t="s">
        <v>47</v>
      </c>
      <c r="BA2" s="16"/>
      <c r="BB2" s="16"/>
      <c r="BC2" s="32"/>
      <c r="BD2" s="32"/>
      <c r="BE2" s="32" t="s">
        <v>48</v>
      </c>
      <c r="BF2" s="32" t="s">
        <v>12</v>
      </c>
      <c r="BG2" s="32" t="s">
        <v>49</v>
      </c>
      <c r="BH2" s="32"/>
      <c r="BI2" s="32"/>
      <c r="BJ2" s="18"/>
      <c r="BK2" s="32"/>
      <c r="BL2" s="32"/>
      <c r="BM2" s="32"/>
      <c r="BN2" s="32"/>
      <c r="BO2" s="32"/>
      <c r="BP2" s="32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</row>
    <row r="3" ht="33.75" customHeight="1">
      <c r="A3" s="33"/>
      <c r="B3" s="34">
        <f>A8+A19+A27+A66+A164+A205+A249</f>
        <v>67</v>
      </c>
      <c r="C3" s="35"/>
      <c r="D3" s="35"/>
      <c r="E3" s="35"/>
      <c r="F3" s="35"/>
      <c r="G3" s="35"/>
      <c r="H3" s="36"/>
      <c r="I3" s="37"/>
      <c r="J3" s="38"/>
      <c r="K3" s="38"/>
      <c r="L3" s="38"/>
      <c r="M3" s="38"/>
      <c r="N3" s="38"/>
      <c r="O3" s="38"/>
      <c r="P3" s="38"/>
      <c r="Q3" s="38"/>
      <c r="R3" s="38"/>
      <c r="S3" s="38"/>
      <c r="T3" s="39" t="s">
        <v>50</v>
      </c>
      <c r="U3" s="39" t="s">
        <v>51</v>
      </c>
      <c r="V3" s="40" t="s">
        <v>52</v>
      </c>
      <c r="W3" s="41" t="s">
        <v>53</v>
      </c>
      <c r="X3" s="42" t="s">
        <v>54</v>
      </c>
      <c r="Y3" s="43" t="s">
        <v>55</v>
      </c>
      <c r="Z3" s="44" t="s">
        <v>56</v>
      </c>
      <c r="AA3" s="44" t="s">
        <v>57</v>
      </c>
      <c r="AB3" s="42" t="s">
        <v>54</v>
      </c>
      <c r="AC3" s="43" t="s">
        <v>58</v>
      </c>
      <c r="AD3" s="45" t="s">
        <v>59</v>
      </c>
      <c r="AE3" s="46"/>
      <c r="AF3" s="45" t="s">
        <v>60</v>
      </c>
      <c r="AG3" s="45" t="s">
        <v>61</v>
      </c>
      <c r="AH3" s="47" t="s">
        <v>62</v>
      </c>
      <c r="AI3" s="48" t="s">
        <v>63</v>
      </c>
      <c r="AJ3" s="49" t="s">
        <v>64</v>
      </c>
      <c r="AK3" s="48" t="s">
        <v>65</v>
      </c>
      <c r="AL3" s="50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7"/>
      <c r="BD3" s="37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</row>
    <row r="4" ht="14.25" customHeight="1">
      <c r="A4" s="51"/>
      <c r="B4" s="52" t="s">
        <v>66</v>
      </c>
      <c r="C4" s="52"/>
      <c r="D4" s="52"/>
      <c r="E4" s="53"/>
      <c r="F4" s="53"/>
      <c r="G4" s="53"/>
      <c r="H4" s="54"/>
      <c r="I4" s="55"/>
      <c r="J4" s="56"/>
      <c r="K4" s="56"/>
      <c r="L4" s="56"/>
      <c r="M4" s="56"/>
      <c r="N4" s="56"/>
      <c r="O4" s="56"/>
      <c r="P4" s="57"/>
      <c r="Q4" s="53"/>
      <c r="R4" s="57"/>
      <c r="S4" s="53"/>
      <c r="T4" s="53"/>
      <c r="U4" s="58"/>
      <c r="V4" s="58"/>
      <c r="W4" s="58"/>
      <c r="X4" s="59"/>
      <c r="Y4" s="59"/>
      <c r="Z4" s="58"/>
      <c r="AA4" s="58"/>
      <c r="AB4" s="59"/>
      <c r="AC4" s="59"/>
      <c r="AD4" s="59"/>
      <c r="AE4" s="59"/>
      <c r="AF4" s="59"/>
      <c r="AG4" s="59"/>
      <c r="AH4" s="59"/>
      <c r="AI4" s="59"/>
      <c r="AJ4" s="53"/>
      <c r="AK4" s="59"/>
      <c r="AL4" s="59"/>
      <c r="AM4" s="53"/>
      <c r="AN4" s="53"/>
      <c r="AO4" s="53"/>
      <c r="AP4" s="53"/>
      <c r="AQ4" s="53"/>
      <c r="AR4" s="53"/>
      <c r="AS4" s="57"/>
      <c r="AT4" s="57"/>
      <c r="AU4" s="57"/>
      <c r="AV4" s="57"/>
      <c r="AW4" s="57"/>
      <c r="AX4" s="57"/>
      <c r="AY4" s="53"/>
      <c r="AZ4" s="59"/>
      <c r="BA4" s="59"/>
      <c r="BB4" s="59"/>
      <c r="BC4" s="60"/>
      <c r="BD4" s="60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</row>
    <row r="5" ht="14.25" customHeight="1">
      <c r="A5" s="62"/>
      <c r="B5" s="63" t="s">
        <v>67</v>
      </c>
      <c r="C5" s="63"/>
      <c r="D5" s="63"/>
      <c r="E5" s="64"/>
      <c r="F5" s="63"/>
      <c r="G5" s="63"/>
      <c r="H5" s="63"/>
      <c r="I5" s="65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</row>
    <row r="6" ht="15.75" customHeight="1">
      <c r="A6" s="62">
        <v>1.0</v>
      </c>
      <c r="B6" s="66">
        <v>143163.0</v>
      </c>
      <c r="C6" s="66" t="s">
        <v>68</v>
      </c>
      <c r="D6" s="66" t="s">
        <v>67</v>
      </c>
      <c r="E6" s="67" t="s">
        <v>69</v>
      </c>
      <c r="F6" s="67"/>
      <c r="G6" s="68" t="s">
        <v>70</v>
      </c>
      <c r="H6" s="69" t="s">
        <v>71</v>
      </c>
      <c r="I6" s="70" t="s">
        <v>72</v>
      </c>
      <c r="J6" s="71" t="s">
        <v>73</v>
      </c>
      <c r="K6" s="71" t="s">
        <v>73</v>
      </c>
      <c r="L6" s="71" t="s">
        <v>73</v>
      </c>
      <c r="M6" s="71" t="s">
        <v>73</v>
      </c>
      <c r="N6" s="71" t="s">
        <v>73</v>
      </c>
      <c r="O6" s="72">
        <v>0.72</v>
      </c>
      <c r="P6" s="68">
        <v>4.0</v>
      </c>
      <c r="Q6" s="68">
        <v>3.0</v>
      </c>
      <c r="R6" s="68">
        <v>3.0</v>
      </c>
      <c r="S6" s="68">
        <v>4.0</v>
      </c>
      <c r="T6" s="68" t="s">
        <v>74</v>
      </c>
      <c r="U6" s="68">
        <v>43.0</v>
      </c>
      <c r="V6" s="68">
        <v>24.08</v>
      </c>
      <c r="W6" s="68" t="s">
        <v>75</v>
      </c>
      <c r="X6" s="72">
        <f t="shared" ref="X6:X7" si="1">(U6-V6)/U6</f>
        <v>0.44</v>
      </c>
      <c r="Y6" s="73" t="s">
        <v>74</v>
      </c>
      <c r="Z6" s="68" t="s">
        <v>75</v>
      </c>
      <c r="AA6" s="68" t="s">
        <v>75</v>
      </c>
      <c r="AB6" s="68" t="s">
        <v>75</v>
      </c>
      <c r="AC6" s="68" t="s">
        <v>75</v>
      </c>
      <c r="AD6" s="68">
        <v>18.0</v>
      </c>
      <c r="AE6" s="68">
        <v>0.0</v>
      </c>
      <c r="AF6" s="68" t="s">
        <v>76</v>
      </c>
      <c r="AG6" s="68">
        <v>1.0</v>
      </c>
      <c r="AH6" s="72" t="s">
        <v>74</v>
      </c>
      <c r="AI6" s="72" t="s">
        <v>74</v>
      </c>
      <c r="AJ6" s="72" t="s">
        <v>74</v>
      </c>
      <c r="AK6" s="72" t="s">
        <v>74</v>
      </c>
      <c r="AL6" s="68">
        <v>0.0</v>
      </c>
      <c r="AM6" s="68">
        <v>0.0</v>
      </c>
      <c r="AN6" s="68">
        <v>0.0</v>
      </c>
      <c r="AO6" s="68">
        <v>1.0</v>
      </c>
      <c r="AP6" s="68" t="s">
        <v>69</v>
      </c>
      <c r="AQ6" s="68">
        <v>3.0</v>
      </c>
      <c r="AR6" s="68">
        <v>0.0</v>
      </c>
      <c r="AS6" s="68">
        <v>2.0</v>
      </c>
      <c r="AT6" s="68">
        <v>2.0</v>
      </c>
      <c r="AU6" s="68">
        <v>0.0</v>
      </c>
      <c r="AV6" s="68">
        <v>0.0</v>
      </c>
      <c r="AW6" s="68">
        <v>1.0</v>
      </c>
      <c r="AX6" s="68">
        <v>1.0</v>
      </c>
      <c r="AY6" s="68">
        <v>1.0</v>
      </c>
      <c r="AZ6" s="68">
        <f>P6+Q6+R6+S6+AD6+AE6+AG6+AL6+AM6+AN6+AO6+AQ6+AS6+AT6+AU6+AV6+AW6+AX6+AY6</f>
        <v>44</v>
      </c>
      <c r="BA6" s="72">
        <f>AZ6/67</f>
        <v>0.6567164179</v>
      </c>
      <c r="BB6" s="68" t="s">
        <v>77</v>
      </c>
      <c r="BC6" s="70"/>
      <c r="BD6" s="70"/>
      <c r="BE6" s="74" t="str">
        <f t="shared" ref="BE6:BE11" si="2">IF(O6&gt;60%,"YES","No")</f>
        <v>YES</v>
      </c>
      <c r="BF6" s="62" t="str">
        <f>C6</f>
        <v>Eaton HS (Last year reporting)</v>
      </c>
      <c r="BG6" s="75" t="str">
        <f>I6</f>
        <v>Barbara Rystrom</v>
      </c>
      <c r="BH6" s="75" t="str">
        <f>IF(BA6&gt;65%,"No need to contact","need to contact")</f>
        <v>No need to contact</v>
      </c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</row>
    <row r="7" ht="15.0" customHeight="1">
      <c r="A7" s="62">
        <v>2.0</v>
      </c>
      <c r="B7" s="76">
        <v>143155.0</v>
      </c>
      <c r="C7" s="77" t="s">
        <v>78</v>
      </c>
      <c r="D7" s="66" t="s">
        <v>67</v>
      </c>
      <c r="E7" s="67" t="s">
        <v>69</v>
      </c>
      <c r="F7" s="62"/>
      <c r="G7" s="68" t="s">
        <v>79</v>
      </c>
      <c r="H7" s="62"/>
      <c r="I7" s="70" t="s">
        <v>72</v>
      </c>
      <c r="J7" s="62"/>
      <c r="K7" s="62"/>
      <c r="L7" s="62"/>
      <c r="M7" s="62"/>
      <c r="N7" s="62"/>
      <c r="O7" s="72">
        <v>0.76</v>
      </c>
      <c r="P7" s="68">
        <v>4.0</v>
      </c>
      <c r="Q7" s="68">
        <v>0.0</v>
      </c>
      <c r="R7" s="68">
        <v>0.0</v>
      </c>
      <c r="S7" s="68">
        <v>0.0</v>
      </c>
      <c r="T7" s="67" t="s">
        <v>69</v>
      </c>
      <c r="U7" s="68">
        <v>56.0</v>
      </c>
      <c r="V7" s="68">
        <v>53.63</v>
      </c>
      <c r="W7" s="68">
        <v>2.0</v>
      </c>
      <c r="X7" s="72">
        <f t="shared" si="1"/>
        <v>0.04232142857</v>
      </c>
      <c r="Y7" s="73" t="s">
        <v>74</v>
      </c>
      <c r="Z7" s="68" t="s">
        <v>75</v>
      </c>
      <c r="AA7" s="68" t="s">
        <v>75</v>
      </c>
      <c r="AB7" s="68" t="s">
        <v>75</v>
      </c>
      <c r="AC7" s="68" t="s">
        <v>75</v>
      </c>
      <c r="AD7" s="68">
        <v>14.0</v>
      </c>
      <c r="AE7" s="68">
        <v>3.0</v>
      </c>
      <c r="AF7" s="68" t="s">
        <v>76</v>
      </c>
      <c r="AG7" s="62"/>
      <c r="AH7" s="72">
        <v>0.31</v>
      </c>
      <c r="AI7" s="72" t="s">
        <v>74</v>
      </c>
      <c r="AJ7" s="72" t="s">
        <v>74</v>
      </c>
      <c r="AK7" s="72" t="s">
        <v>74</v>
      </c>
      <c r="AL7" s="68">
        <v>8.0</v>
      </c>
      <c r="AM7" s="68">
        <v>2.0</v>
      </c>
      <c r="AN7" s="68">
        <v>2.0</v>
      </c>
      <c r="AO7" s="68">
        <v>1.0</v>
      </c>
      <c r="AP7" s="68" t="s">
        <v>69</v>
      </c>
      <c r="AQ7" s="68">
        <v>3.0</v>
      </c>
      <c r="AR7" s="68">
        <v>1.0</v>
      </c>
      <c r="AS7" s="68">
        <v>2.0</v>
      </c>
      <c r="AT7" s="68">
        <v>1.0</v>
      </c>
      <c r="AU7" s="68">
        <v>1.0</v>
      </c>
      <c r="AV7" s="68">
        <v>1.0</v>
      </c>
      <c r="AW7" s="68">
        <v>1.0</v>
      </c>
      <c r="AX7" s="68">
        <v>1.0</v>
      </c>
      <c r="AY7" s="68">
        <v>1.0</v>
      </c>
      <c r="AZ7" s="62"/>
      <c r="BA7" s="62"/>
      <c r="BB7" s="62"/>
      <c r="BC7" s="78"/>
      <c r="BD7" s="78"/>
      <c r="BE7" s="74" t="str">
        <f t="shared" si="2"/>
        <v>YES</v>
      </c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</row>
    <row r="8" ht="15.0" customHeight="1">
      <c r="A8" s="62">
        <v>3.0</v>
      </c>
      <c r="B8" s="76">
        <v>143166.0</v>
      </c>
      <c r="C8" s="66" t="s">
        <v>80</v>
      </c>
      <c r="D8" s="66" t="s">
        <v>67</v>
      </c>
      <c r="E8" s="67" t="s">
        <v>69</v>
      </c>
      <c r="F8" s="67"/>
      <c r="G8" s="68" t="s">
        <v>79</v>
      </c>
      <c r="H8" s="79"/>
      <c r="I8" s="70" t="s">
        <v>81</v>
      </c>
      <c r="J8" s="64"/>
      <c r="K8" s="80"/>
      <c r="L8" s="64"/>
      <c r="M8" s="67"/>
      <c r="N8" s="81"/>
      <c r="O8" s="82">
        <v>0.0</v>
      </c>
      <c r="P8" s="68"/>
      <c r="Q8" s="68"/>
      <c r="R8" s="68"/>
      <c r="S8" s="68"/>
      <c r="T8" s="68"/>
      <c r="U8" s="68"/>
      <c r="V8" s="68"/>
      <c r="W8" s="68"/>
      <c r="X8" s="72"/>
      <c r="Y8" s="68"/>
      <c r="Z8" s="68"/>
      <c r="AA8" s="68"/>
      <c r="AB8" s="68"/>
      <c r="AC8" s="68"/>
      <c r="AD8" s="68"/>
      <c r="AE8" s="68"/>
      <c r="AF8" s="68" t="s">
        <v>82</v>
      </c>
      <c r="AG8" s="68"/>
      <c r="AH8" s="72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72"/>
      <c r="BB8" s="68"/>
      <c r="BC8" s="70"/>
      <c r="BD8" s="70"/>
      <c r="BE8" s="74" t="str">
        <f t="shared" si="2"/>
        <v>No</v>
      </c>
      <c r="BF8" s="62"/>
      <c r="BG8" s="75" t="str">
        <f>I8</f>
        <v>Barbara Rystrom/ Jose Gutierrez</v>
      </c>
      <c r="BH8" s="75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</row>
    <row r="9" ht="15.0" customHeight="1">
      <c r="A9" s="62"/>
      <c r="B9" s="79">
        <v>143164.0</v>
      </c>
      <c r="C9" s="79" t="s">
        <v>83</v>
      </c>
      <c r="D9" s="83" t="s">
        <v>67</v>
      </c>
      <c r="E9" s="73" t="s">
        <v>74</v>
      </c>
      <c r="F9" s="69"/>
      <c r="G9" s="68" t="s">
        <v>84</v>
      </c>
      <c r="H9" s="79"/>
      <c r="I9" s="69" t="s">
        <v>85</v>
      </c>
      <c r="J9" s="64"/>
      <c r="K9" s="80"/>
      <c r="L9" s="64"/>
      <c r="M9" s="67"/>
      <c r="N9" s="81"/>
      <c r="O9" s="81"/>
      <c r="P9" s="68"/>
      <c r="Q9" s="68"/>
      <c r="R9" s="68"/>
      <c r="S9" s="68"/>
      <c r="T9" s="68"/>
      <c r="U9" s="68"/>
      <c r="V9" s="68"/>
      <c r="W9" s="68"/>
      <c r="X9" s="72"/>
      <c r="Y9" s="68"/>
      <c r="Z9" s="68"/>
      <c r="AA9" s="68"/>
      <c r="AB9" s="68"/>
      <c r="AC9" s="68"/>
      <c r="AD9" s="68"/>
      <c r="AE9" s="68"/>
      <c r="AF9" s="68"/>
      <c r="AG9" s="68"/>
      <c r="AH9" s="72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72"/>
      <c r="BB9" s="68"/>
      <c r="BC9" s="70"/>
      <c r="BD9" s="70"/>
      <c r="BE9" s="74" t="str">
        <f t="shared" si="2"/>
        <v>No</v>
      </c>
      <c r="BF9" s="62"/>
      <c r="BG9" s="75"/>
      <c r="BH9" s="75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</row>
    <row r="10" ht="15.0" customHeight="1">
      <c r="A10" s="62"/>
      <c r="B10" s="79">
        <v>143165.0</v>
      </c>
      <c r="C10" s="79" t="s">
        <v>86</v>
      </c>
      <c r="D10" s="83" t="s">
        <v>67</v>
      </c>
      <c r="E10" s="73" t="s">
        <v>74</v>
      </c>
      <c r="F10" s="69"/>
      <c r="G10" s="68" t="s">
        <v>84</v>
      </c>
      <c r="H10" s="79"/>
      <c r="I10" s="69" t="s">
        <v>85</v>
      </c>
      <c r="J10" s="64"/>
      <c r="K10" s="80"/>
      <c r="L10" s="64"/>
      <c r="M10" s="67"/>
      <c r="N10" s="81"/>
      <c r="O10" s="81"/>
      <c r="P10" s="68"/>
      <c r="Q10" s="68"/>
      <c r="R10" s="68"/>
      <c r="S10" s="68"/>
      <c r="T10" s="68"/>
      <c r="U10" s="68"/>
      <c r="V10" s="68"/>
      <c r="W10" s="68"/>
      <c r="X10" s="72"/>
      <c r="Y10" s="68"/>
      <c r="Z10" s="68"/>
      <c r="AA10" s="68"/>
      <c r="AB10" s="68"/>
      <c r="AC10" s="68"/>
      <c r="AD10" s="68"/>
      <c r="AE10" s="68"/>
      <c r="AF10" s="68"/>
      <c r="AG10" s="68"/>
      <c r="AH10" s="72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72"/>
      <c r="BB10" s="68"/>
      <c r="BC10" s="70"/>
      <c r="BD10" s="70"/>
      <c r="BE10" s="74" t="str">
        <f t="shared" si="2"/>
        <v>No</v>
      </c>
      <c r="BF10" s="62"/>
      <c r="BG10" s="75"/>
      <c r="BH10" s="75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</row>
    <row r="11" ht="16.5" customHeight="1">
      <c r="A11" s="62"/>
      <c r="B11" s="83">
        <v>143154.0</v>
      </c>
      <c r="C11" s="83" t="s">
        <v>87</v>
      </c>
      <c r="D11" s="83" t="s">
        <v>67</v>
      </c>
      <c r="E11" s="73" t="s">
        <v>74</v>
      </c>
      <c r="F11" s="67"/>
      <c r="G11" s="68" t="s">
        <v>88</v>
      </c>
      <c r="H11" s="79" t="s">
        <v>89</v>
      </c>
      <c r="I11" s="65" t="s">
        <v>72</v>
      </c>
      <c r="J11" s="64" t="s">
        <v>90</v>
      </c>
      <c r="K11" s="80"/>
      <c r="L11" s="64"/>
      <c r="M11" s="67"/>
      <c r="N11" s="81">
        <v>1.0</v>
      </c>
      <c r="O11" s="81"/>
      <c r="P11" s="68"/>
      <c r="Q11" s="68"/>
      <c r="R11" s="68"/>
      <c r="S11" s="68"/>
      <c r="T11" s="68"/>
      <c r="U11" s="68"/>
      <c r="V11" s="68"/>
      <c r="W11" s="68"/>
      <c r="X11" s="72"/>
      <c r="Y11" s="68"/>
      <c r="Z11" s="68"/>
      <c r="AA11" s="68"/>
      <c r="AB11" s="68"/>
      <c r="AC11" s="68"/>
      <c r="AD11" s="68"/>
      <c r="AE11" s="68"/>
      <c r="AF11" s="68"/>
      <c r="AG11" s="68"/>
      <c r="AH11" s="72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72"/>
      <c r="BB11" s="68"/>
      <c r="BC11" s="70" t="s">
        <v>91</v>
      </c>
      <c r="BD11" s="70"/>
      <c r="BE11" s="74" t="str">
        <f t="shared" si="2"/>
        <v>No</v>
      </c>
      <c r="BF11" s="62" t="str">
        <f t="shared" ref="BF11:BF13" si="3">C11</f>
        <v>Add Service - Forrest Oak MS A/R - Portables</v>
      </c>
      <c r="BG11" s="75" t="str">
        <f t="shared" ref="BG11:BG13" si="4">I11</f>
        <v>Barbara Rystrom</v>
      </c>
      <c r="BH11" s="75" t="str">
        <f t="shared" ref="BH11:BH13" si="5">IF(BA11&gt;65%,"No need to contact","need to contact")</f>
        <v>need to contact</v>
      </c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</row>
    <row r="12" ht="15.0" customHeight="1">
      <c r="A12" s="62"/>
      <c r="B12" s="83">
        <v>143071.007</v>
      </c>
      <c r="C12" s="83" t="s">
        <v>92</v>
      </c>
      <c r="D12" s="83" t="s">
        <v>67</v>
      </c>
      <c r="E12" s="73" t="s">
        <v>74</v>
      </c>
      <c r="F12" s="67"/>
      <c r="G12" s="68" t="s">
        <v>93</v>
      </c>
      <c r="H12" s="79" t="s">
        <v>94</v>
      </c>
      <c r="I12" s="65" t="s">
        <v>95</v>
      </c>
      <c r="J12" s="64" t="s">
        <v>96</v>
      </c>
      <c r="K12" s="80" t="s">
        <v>97</v>
      </c>
      <c r="L12" s="64" t="s">
        <v>97</v>
      </c>
      <c r="M12" s="67"/>
      <c r="N12" s="81">
        <v>0.98</v>
      </c>
      <c r="O12" s="81"/>
      <c r="P12" s="68"/>
      <c r="Q12" s="68"/>
      <c r="R12" s="68"/>
      <c r="S12" s="68"/>
      <c r="T12" s="68"/>
      <c r="U12" s="68"/>
      <c r="V12" s="68"/>
      <c r="W12" s="68"/>
      <c r="X12" s="72"/>
      <c r="Y12" s="68"/>
      <c r="Z12" s="68"/>
      <c r="AA12" s="68"/>
      <c r="AB12" s="68"/>
      <c r="AC12" s="68"/>
      <c r="AD12" s="68"/>
      <c r="AE12" s="68"/>
      <c r="AF12" s="68"/>
      <c r="AG12" s="68"/>
      <c r="AH12" s="72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72"/>
      <c r="BB12" s="68"/>
      <c r="BC12" s="70"/>
      <c r="BD12" s="70"/>
      <c r="BE12" s="74" t="str">
        <f t="shared" ref="BE12:BE13" si="6">IF(BA12&gt;60%,"YES","No")</f>
        <v>No</v>
      </c>
      <c r="BF12" s="62" t="str">
        <f t="shared" si="3"/>
        <v>MCA Science Wing and Storm Shelter - ON HOLD</v>
      </c>
      <c r="BG12" s="75" t="str">
        <f t="shared" si="4"/>
        <v>Tori/ Tony</v>
      </c>
      <c r="BH12" s="62" t="str">
        <f t="shared" si="5"/>
        <v>need to contact</v>
      </c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</row>
    <row r="13" ht="15.0" customHeight="1">
      <c r="A13" s="62"/>
      <c r="B13" s="83" t="s">
        <v>98</v>
      </c>
      <c r="C13" s="83" t="s">
        <v>99</v>
      </c>
      <c r="D13" s="83" t="s">
        <v>67</v>
      </c>
      <c r="E13" s="73" t="s">
        <v>74</v>
      </c>
      <c r="F13" s="84"/>
      <c r="G13" s="68" t="s">
        <v>93</v>
      </c>
      <c r="H13" s="84"/>
      <c r="I13" s="85"/>
      <c r="J13" s="84"/>
      <c r="K13" s="84"/>
      <c r="L13" s="84"/>
      <c r="M13" s="84"/>
      <c r="N13" s="84"/>
      <c r="O13" s="84"/>
      <c r="P13" s="68"/>
      <c r="Q13" s="68"/>
      <c r="R13" s="68"/>
      <c r="S13" s="68"/>
      <c r="T13" s="68"/>
      <c r="U13" s="68"/>
      <c r="V13" s="68"/>
      <c r="W13" s="68"/>
      <c r="X13" s="72"/>
      <c r="Y13" s="68"/>
      <c r="Z13" s="68"/>
      <c r="AA13" s="68"/>
      <c r="AB13" s="68"/>
      <c r="AC13" s="68"/>
      <c r="AD13" s="68"/>
      <c r="AE13" s="68"/>
      <c r="AF13" s="68"/>
      <c r="AG13" s="68"/>
      <c r="AH13" s="72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72"/>
      <c r="BB13" s="68"/>
      <c r="BC13" s="70"/>
      <c r="BD13" s="70"/>
      <c r="BE13" s="74" t="str">
        <f t="shared" si="6"/>
        <v>No</v>
      </c>
      <c r="BF13" s="62" t="str">
        <f t="shared" si="3"/>
        <v>NISD  - Finish replacement</v>
      </c>
      <c r="BG13" s="75" t="str">
        <f t="shared" si="4"/>
        <v/>
      </c>
      <c r="BH13" s="62" t="str">
        <f t="shared" si="5"/>
        <v>need to contact</v>
      </c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</row>
    <row r="14">
      <c r="A14" s="62"/>
      <c r="B14" s="83"/>
      <c r="C14" s="83"/>
      <c r="D14" s="83"/>
      <c r="E14" s="73"/>
      <c r="F14" s="67"/>
      <c r="G14" s="68"/>
      <c r="H14" s="79"/>
      <c r="I14" s="65"/>
      <c r="J14" s="64"/>
      <c r="K14" s="80"/>
      <c r="L14" s="64"/>
      <c r="M14" s="67"/>
      <c r="N14" s="81"/>
      <c r="O14" s="81"/>
      <c r="P14" s="68"/>
      <c r="Q14" s="68"/>
      <c r="R14" s="68"/>
      <c r="S14" s="68"/>
      <c r="T14" s="68"/>
      <c r="U14" s="68"/>
      <c r="V14" s="68"/>
      <c r="W14" s="68"/>
      <c r="X14" s="72"/>
      <c r="Y14" s="68"/>
      <c r="Z14" s="68"/>
      <c r="AA14" s="68"/>
      <c r="AB14" s="68"/>
      <c r="AC14" s="68"/>
      <c r="AD14" s="68"/>
      <c r="AE14" s="68"/>
      <c r="AF14" s="68"/>
      <c r="AG14" s="68"/>
      <c r="AH14" s="72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72"/>
      <c r="BB14" s="68"/>
      <c r="BC14" s="70"/>
      <c r="BD14" s="70"/>
      <c r="BE14" s="74"/>
      <c r="BF14" s="62"/>
      <c r="BG14" s="75"/>
      <c r="BH14" s="75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</row>
    <row r="15" ht="15.0" customHeight="1">
      <c r="A15" s="62"/>
      <c r="B15" s="86" t="s">
        <v>100</v>
      </c>
      <c r="C15" s="86"/>
      <c r="D15" s="86"/>
      <c r="E15" s="87"/>
      <c r="F15" s="86"/>
      <c r="G15" s="86"/>
      <c r="H15" s="86"/>
      <c r="I15" s="88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74"/>
      <c r="BF15" s="62" t="str">
        <f t="shared" ref="BF15:BF17" si="7">C15</f>
        <v/>
      </c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</row>
    <row r="16" ht="15.0" customHeight="1">
      <c r="A16" s="62">
        <v>1.0</v>
      </c>
      <c r="B16" s="76">
        <v>144086.0</v>
      </c>
      <c r="C16" s="76" t="s">
        <v>101</v>
      </c>
      <c r="D16" s="76" t="s">
        <v>102</v>
      </c>
      <c r="E16" s="67" t="s">
        <v>69</v>
      </c>
      <c r="F16" s="67"/>
      <c r="G16" s="68" t="s">
        <v>70</v>
      </c>
      <c r="H16" s="79" t="s">
        <v>103</v>
      </c>
      <c r="I16" s="65" t="s">
        <v>104</v>
      </c>
      <c r="J16" s="64" t="s">
        <v>90</v>
      </c>
      <c r="K16" s="89"/>
      <c r="L16" s="90"/>
      <c r="M16" s="90"/>
      <c r="N16" s="91">
        <v>1.0</v>
      </c>
      <c r="O16" s="72">
        <v>0.94</v>
      </c>
      <c r="P16" s="68">
        <v>4.0</v>
      </c>
      <c r="Q16" s="68">
        <v>0.0</v>
      </c>
      <c r="R16" s="68">
        <v>1.0</v>
      </c>
      <c r="S16" s="68">
        <v>3.0</v>
      </c>
      <c r="T16" s="67" t="s">
        <v>69</v>
      </c>
      <c r="U16" s="68">
        <v>169.25</v>
      </c>
      <c r="V16" s="68">
        <v>122.0</v>
      </c>
      <c r="W16" s="68">
        <v>2.0</v>
      </c>
      <c r="X16" s="72">
        <f t="shared" ref="X16:X18" si="8">(U16-V16)/U16</f>
        <v>0.2791728213</v>
      </c>
      <c r="Y16" s="73" t="s">
        <v>74</v>
      </c>
      <c r="Z16" s="68" t="s">
        <v>75</v>
      </c>
      <c r="AA16" s="68" t="s">
        <v>75</v>
      </c>
      <c r="AB16" s="68" t="s">
        <v>75</v>
      </c>
      <c r="AC16" s="68" t="s">
        <v>75</v>
      </c>
      <c r="AD16" s="68">
        <v>22.0</v>
      </c>
      <c r="AE16" s="68">
        <v>3.0</v>
      </c>
      <c r="AF16" s="68" t="s">
        <v>105</v>
      </c>
      <c r="AG16" s="67" t="s">
        <v>69</v>
      </c>
      <c r="AH16" s="72">
        <v>0.4</v>
      </c>
      <c r="AI16" s="67" t="s">
        <v>69</v>
      </c>
      <c r="AJ16" s="72">
        <v>0.34</v>
      </c>
      <c r="AK16" s="67" t="s">
        <v>69</v>
      </c>
      <c r="AL16" s="68">
        <v>10.0</v>
      </c>
      <c r="AM16" s="68">
        <v>2.0</v>
      </c>
      <c r="AN16" s="68">
        <v>1.0</v>
      </c>
      <c r="AO16" s="68">
        <v>1.0</v>
      </c>
      <c r="AP16" s="68" t="s">
        <v>69</v>
      </c>
      <c r="AQ16" s="68">
        <v>3.0</v>
      </c>
      <c r="AR16" s="68">
        <v>1.0</v>
      </c>
      <c r="AS16" s="68">
        <v>2.0</v>
      </c>
      <c r="AT16" s="68">
        <v>1.0</v>
      </c>
      <c r="AU16" s="68">
        <v>0.0</v>
      </c>
      <c r="AV16" s="68">
        <v>0.0</v>
      </c>
      <c r="AW16" s="68">
        <v>1.0</v>
      </c>
      <c r="AX16" s="68">
        <v>0.0</v>
      </c>
      <c r="AY16" s="68">
        <v>0.0</v>
      </c>
      <c r="AZ16" s="68" t="str">
        <f t="shared" ref="AZ16:AZ17" si="9">P16+Q16+R16+S16+AD16+AE16+AG16+AL16+AM16+AN16+AO16+AQ16+AS16+AT16+AU16+AV16+AW16+AX16+AY16</f>
        <v>#VALUE!</v>
      </c>
      <c r="BA16" s="72" t="str">
        <f t="shared" ref="BA16:BA17" si="10">AZ16/67</f>
        <v>#VALUE!</v>
      </c>
      <c r="BB16" s="68" t="s">
        <v>77</v>
      </c>
      <c r="BC16" s="70"/>
      <c r="BD16" s="70"/>
      <c r="BE16" s="74" t="str">
        <f t="shared" ref="BE16:BE17" si="11">IF(O16&gt;60%,"YES","No")</f>
        <v>YES</v>
      </c>
      <c r="BF16" s="62" t="str">
        <f t="shared" si="7"/>
        <v>UTD Jindal School of Management III - Last year of reporting</v>
      </c>
      <c r="BG16" s="75" t="str">
        <f t="shared" ref="BG16:BG17" si="12">I16</f>
        <v>Ryan / David</v>
      </c>
      <c r="BH16" s="75" t="str">
        <f t="shared" ref="BH16:BH17" si="13">IF(BA16&gt;65%,"No need to contact","need to contact")</f>
        <v>#VALUE!</v>
      </c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</row>
    <row r="17" ht="15.0" customHeight="1">
      <c r="A17" s="62">
        <v>2.0</v>
      </c>
      <c r="B17" s="76">
        <v>144082.0</v>
      </c>
      <c r="C17" s="77" t="s">
        <v>106</v>
      </c>
      <c r="D17" s="76" t="s">
        <v>102</v>
      </c>
      <c r="E17" s="67" t="s">
        <v>69</v>
      </c>
      <c r="F17" s="67"/>
      <c r="G17" s="68" t="s">
        <v>70</v>
      </c>
      <c r="H17" s="69" t="s">
        <v>107</v>
      </c>
      <c r="I17" s="65" t="s">
        <v>108</v>
      </c>
      <c r="J17" s="64" t="s">
        <v>90</v>
      </c>
      <c r="K17" s="80"/>
      <c r="L17" s="64" t="s">
        <v>109</v>
      </c>
      <c r="M17" s="90"/>
      <c r="N17" s="91">
        <v>1.0</v>
      </c>
      <c r="O17" s="72">
        <v>0.96</v>
      </c>
      <c r="P17" s="68">
        <v>1.0</v>
      </c>
      <c r="Q17" s="68">
        <v>0.0</v>
      </c>
      <c r="R17" s="68">
        <v>0.0</v>
      </c>
      <c r="S17" s="68">
        <v>0.0</v>
      </c>
      <c r="T17" s="67" t="s">
        <v>69</v>
      </c>
      <c r="U17" s="68">
        <v>109.0</v>
      </c>
      <c r="V17" s="68">
        <v>44.0</v>
      </c>
      <c r="W17" s="68">
        <v>1.0</v>
      </c>
      <c r="X17" s="72">
        <f t="shared" si="8"/>
        <v>0.5963302752</v>
      </c>
      <c r="Y17" s="73" t="s">
        <v>74</v>
      </c>
      <c r="Z17" s="68" t="s">
        <v>75</v>
      </c>
      <c r="AA17" s="68" t="s">
        <v>75</v>
      </c>
      <c r="AB17" s="68" t="s">
        <v>75</v>
      </c>
      <c r="AC17" s="68" t="s">
        <v>75</v>
      </c>
      <c r="AD17" s="68">
        <v>22.0</v>
      </c>
      <c r="AE17" s="68">
        <v>3.0</v>
      </c>
      <c r="AF17" s="68" t="s">
        <v>105</v>
      </c>
      <c r="AG17" s="67" t="s">
        <v>69</v>
      </c>
      <c r="AH17" s="72">
        <v>0.37</v>
      </c>
      <c r="AI17" s="68" t="s">
        <v>110</v>
      </c>
      <c r="AJ17" s="72">
        <v>0.74</v>
      </c>
      <c r="AK17" s="68" t="s">
        <v>69</v>
      </c>
      <c r="AL17" s="68">
        <v>7.0</v>
      </c>
      <c r="AM17" s="68">
        <v>4.0</v>
      </c>
      <c r="AN17" s="68">
        <v>1.0</v>
      </c>
      <c r="AO17" s="68">
        <v>0.0</v>
      </c>
      <c r="AP17" s="68" t="s">
        <v>69</v>
      </c>
      <c r="AQ17" s="68">
        <v>3.0</v>
      </c>
      <c r="AR17" s="68">
        <v>1.0</v>
      </c>
      <c r="AS17" s="68">
        <v>2.0</v>
      </c>
      <c r="AT17" s="68">
        <v>0.0</v>
      </c>
      <c r="AU17" s="68">
        <v>0.0</v>
      </c>
      <c r="AV17" s="68">
        <v>0.0</v>
      </c>
      <c r="AW17" s="68">
        <v>0.0</v>
      </c>
      <c r="AX17" s="68">
        <v>0.0</v>
      </c>
      <c r="AY17" s="68">
        <v>0.0</v>
      </c>
      <c r="AZ17" s="68" t="str">
        <f t="shared" si="9"/>
        <v>#VALUE!</v>
      </c>
      <c r="BA17" s="72" t="str">
        <f t="shared" si="10"/>
        <v>#VALUE!</v>
      </c>
      <c r="BB17" s="68" t="s">
        <v>77</v>
      </c>
      <c r="BC17" s="69" t="s">
        <v>111</v>
      </c>
      <c r="BD17" s="69"/>
      <c r="BE17" s="74" t="str">
        <f t="shared" si="11"/>
        <v>YES</v>
      </c>
      <c r="BF17" s="62" t="str">
        <f t="shared" si="7"/>
        <v>UT Austin Business School - Last year of reporting</v>
      </c>
      <c r="BG17" s="75" t="str">
        <f t="shared" si="12"/>
        <v>Brad / Brian</v>
      </c>
      <c r="BH17" s="75" t="str">
        <f t="shared" si="13"/>
        <v>#VALUE!</v>
      </c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</row>
    <row r="18" ht="15.0" customHeight="1">
      <c r="A18" s="62">
        <v>3.0</v>
      </c>
      <c r="B18" s="66">
        <v>144089.0</v>
      </c>
      <c r="C18" s="66" t="s">
        <v>112</v>
      </c>
      <c r="D18" s="76" t="s">
        <v>102</v>
      </c>
      <c r="E18" s="67" t="s">
        <v>69</v>
      </c>
      <c r="F18" s="67"/>
      <c r="G18" s="68" t="s">
        <v>113</v>
      </c>
      <c r="H18" s="79"/>
      <c r="I18" s="65" t="s">
        <v>114</v>
      </c>
      <c r="J18" s="64"/>
      <c r="K18" s="80"/>
      <c r="L18" s="64"/>
      <c r="M18" s="67"/>
      <c r="N18" s="81"/>
      <c r="O18" s="72">
        <v>0.7</v>
      </c>
      <c r="P18" s="68">
        <v>4.0</v>
      </c>
      <c r="Q18" s="68">
        <v>1.0</v>
      </c>
      <c r="R18" s="68">
        <v>3.0</v>
      </c>
      <c r="S18" s="68">
        <v>2.0</v>
      </c>
      <c r="T18" s="67" t="s">
        <v>69</v>
      </c>
      <c r="U18" s="92">
        <v>525.0</v>
      </c>
      <c r="V18" s="93">
        <v>317.0</v>
      </c>
      <c r="W18" s="93">
        <v>2.0</v>
      </c>
      <c r="X18" s="72">
        <f t="shared" si="8"/>
        <v>0.3961904762</v>
      </c>
      <c r="Y18" s="73" t="s">
        <v>74</v>
      </c>
      <c r="Z18" s="68" t="s">
        <v>75</v>
      </c>
      <c r="AA18" s="68" t="s">
        <v>75</v>
      </c>
      <c r="AB18" s="68" t="s">
        <v>75</v>
      </c>
      <c r="AC18" s="68" t="s">
        <v>75</v>
      </c>
      <c r="AD18" s="68">
        <v>20.0</v>
      </c>
      <c r="AE18" s="68">
        <v>3.0</v>
      </c>
      <c r="AF18" s="68" t="s">
        <v>76</v>
      </c>
      <c r="AG18" s="67" t="s">
        <v>74</v>
      </c>
      <c r="AH18" s="68" t="s">
        <v>82</v>
      </c>
      <c r="AI18" s="68" t="s">
        <v>82</v>
      </c>
      <c r="AJ18" s="68" t="s">
        <v>82</v>
      </c>
      <c r="AK18" s="68" t="s">
        <v>82</v>
      </c>
      <c r="AL18" s="68">
        <v>4.0</v>
      </c>
      <c r="AM18" s="68">
        <v>1.0</v>
      </c>
      <c r="AN18" s="68">
        <v>2.0</v>
      </c>
      <c r="AO18" s="68">
        <v>3.0</v>
      </c>
      <c r="AP18" s="68" t="s">
        <v>69</v>
      </c>
      <c r="AQ18" s="68">
        <v>3.0</v>
      </c>
      <c r="AR18" s="68">
        <v>1.0</v>
      </c>
      <c r="AS18" s="68">
        <v>2.0</v>
      </c>
      <c r="AT18" s="68">
        <v>0.0</v>
      </c>
      <c r="AU18" s="68">
        <v>0.0</v>
      </c>
      <c r="AV18" s="68">
        <v>0.0</v>
      </c>
      <c r="AW18" s="68">
        <v>0.0</v>
      </c>
      <c r="AX18" s="68">
        <v>0.0</v>
      </c>
      <c r="AY18" s="68">
        <v>0.0</v>
      </c>
      <c r="AZ18" s="68"/>
      <c r="BA18" s="62"/>
      <c r="BB18" s="68"/>
      <c r="BC18" s="70"/>
      <c r="BD18" s="70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</row>
    <row r="19" ht="15.0" customHeight="1">
      <c r="A19" s="62">
        <v>4.0</v>
      </c>
      <c r="B19" s="66">
        <v>144077.0</v>
      </c>
      <c r="C19" s="66" t="s">
        <v>115</v>
      </c>
      <c r="D19" s="76" t="s">
        <v>102</v>
      </c>
      <c r="E19" s="67" t="s">
        <v>69</v>
      </c>
      <c r="F19" s="67"/>
      <c r="G19" s="68" t="s">
        <v>96</v>
      </c>
      <c r="H19" s="79"/>
      <c r="I19" s="65" t="s">
        <v>116</v>
      </c>
      <c r="J19" s="64"/>
      <c r="K19" s="80"/>
      <c r="L19" s="64"/>
      <c r="M19" s="67"/>
      <c r="N19" s="81"/>
      <c r="O19" s="72">
        <v>0.47</v>
      </c>
      <c r="P19" s="68">
        <v>4.0</v>
      </c>
      <c r="Q19" s="68">
        <v>0.0</v>
      </c>
      <c r="R19" s="68">
        <v>0.0</v>
      </c>
      <c r="S19" s="68">
        <v>0.0</v>
      </c>
      <c r="T19" s="67" t="s">
        <v>74</v>
      </c>
      <c r="U19" s="92">
        <v>104.0</v>
      </c>
      <c r="V19" s="68" t="s">
        <v>82</v>
      </c>
      <c r="W19" s="68" t="s">
        <v>82</v>
      </c>
      <c r="X19" s="68" t="s">
        <v>82</v>
      </c>
      <c r="Y19" s="73" t="s">
        <v>74</v>
      </c>
      <c r="Z19" s="68" t="s">
        <v>75</v>
      </c>
      <c r="AA19" s="68" t="s">
        <v>75</v>
      </c>
      <c r="AB19" s="68" t="s">
        <v>75</v>
      </c>
      <c r="AC19" s="68" t="s">
        <v>75</v>
      </c>
      <c r="AD19" s="68">
        <v>18.0</v>
      </c>
      <c r="AE19" s="68">
        <v>0.0</v>
      </c>
      <c r="AF19" s="68" t="s">
        <v>76</v>
      </c>
      <c r="AG19" s="67" t="s">
        <v>74</v>
      </c>
      <c r="AH19" s="68" t="s">
        <v>82</v>
      </c>
      <c r="AI19" s="68" t="s">
        <v>82</v>
      </c>
      <c r="AJ19" s="68" t="s">
        <v>82</v>
      </c>
      <c r="AK19" s="68" t="s">
        <v>82</v>
      </c>
      <c r="AL19" s="68">
        <v>3.0</v>
      </c>
      <c r="AM19" s="68">
        <v>1.0</v>
      </c>
      <c r="AN19" s="68">
        <v>1.0</v>
      </c>
      <c r="AO19" s="68">
        <v>0.0</v>
      </c>
      <c r="AP19" s="68" t="s">
        <v>74</v>
      </c>
      <c r="AQ19" s="68">
        <v>0.0</v>
      </c>
      <c r="AR19" s="68">
        <v>0.0</v>
      </c>
      <c r="AS19" s="68">
        <v>0.0</v>
      </c>
      <c r="AT19" s="68">
        <v>0.0</v>
      </c>
      <c r="AU19" s="68">
        <v>0.0</v>
      </c>
      <c r="AV19" s="68">
        <v>0.0</v>
      </c>
      <c r="AW19" s="68">
        <v>0.0</v>
      </c>
      <c r="AX19" s="68">
        <v>0.0</v>
      </c>
      <c r="AY19" s="68">
        <v>0.0</v>
      </c>
      <c r="AZ19" s="68"/>
      <c r="BA19" s="62"/>
      <c r="BB19" s="68"/>
      <c r="BC19" s="70"/>
      <c r="BD19" s="70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</row>
    <row r="20" ht="15.0" customHeight="1">
      <c r="A20" s="62"/>
      <c r="B20" s="79">
        <v>144085.0</v>
      </c>
      <c r="C20" s="62" t="s">
        <v>117</v>
      </c>
      <c r="D20" s="79" t="s">
        <v>102</v>
      </c>
      <c r="E20" s="73" t="s">
        <v>74</v>
      </c>
      <c r="F20" s="67"/>
      <c r="G20" s="68" t="s">
        <v>84</v>
      </c>
      <c r="H20" s="69"/>
      <c r="I20" s="65" t="s">
        <v>116</v>
      </c>
      <c r="J20" s="64"/>
      <c r="K20" s="80"/>
      <c r="L20" s="64"/>
      <c r="M20" s="90"/>
      <c r="N20" s="91"/>
      <c r="O20" s="72"/>
      <c r="P20" s="68"/>
      <c r="Q20" s="68"/>
      <c r="R20" s="68"/>
      <c r="S20" s="68"/>
      <c r="T20" s="68"/>
      <c r="U20" s="68"/>
      <c r="V20" s="68"/>
      <c r="W20" s="68"/>
      <c r="X20" s="72"/>
      <c r="Y20" s="68"/>
      <c r="Z20" s="68"/>
      <c r="AA20" s="68"/>
      <c r="AB20" s="68"/>
      <c r="AC20" s="68"/>
      <c r="AD20" s="68"/>
      <c r="AE20" s="68"/>
      <c r="AF20" s="68"/>
      <c r="AG20" s="68"/>
      <c r="AH20" s="72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72"/>
      <c r="BB20" s="68"/>
      <c r="BC20" s="69"/>
      <c r="BD20" s="69"/>
      <c r="BE20" s="74"/>
      <c r="BF20" s="62"/>
      <c r="BG20" s="75"/>
      <c r="BH20" s="75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</row>
    <row r="21" ht="15.0" customHeight="1">
      <c r="A21" s="62"/>
      <c r="B21" s="79">
        <v>144087.0</v>
      </c>
      <c r="C21" s="79" t="s">
        <v>118</v>
      </c>
      <c r="D21" s="79" t="s">
        <v>102</v>
      </c>
      <c r="E21" s="73" t="s">
        <v>74</v>
      </c>
      <c r="F21" s="69"/>
      <c r="G21" s="68" t="s">
        <v>84</v>
      </c>
      <c r="H21" s="69"/>
      <c r="I21" s="69" t="s">
        <v>119</v>
      </c>
      <c r="J21" s="64"/>
      <c r="K21" s="80"/>
      <c r="L21" s="64"/>
      <c r="M21" s="90"/>
      <c r="N21" s="91"/>
      <c r="O21" s="72"/>
      <c r="P21" s="68"/>
      <c r="Q21" s="68"/>
      <c r="R21" s="68"/>
      <c r="S21" s="68"/>
      <c r="T21" s="68"/>
      <c r="U21" s="68"/>
      <c r="V21" s="68"/>
      <c r="W21" s="68"/>
      <c r="X21" s="72"/>
      <c r="Y21" s="68"/>
      <c r="Z21" s="68"/>
      <c r="AA21" s="68"/>
      <c r="AB21" s="68"/>
      <c r="AC21" s="68"/>
      <c r="AD21" s="68"/>
      <c r="AE21" s="68"/>
      <c r="AF21" s="68"/>
      <c r="AG21" s="68"/>
      <c r="AH21" s="72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72"/>
      <c r="BB21" s="68"/>
      <c r="BC21" s="69"/>
      <c r="BD21" s="69"/>
      <c r="BE21" s="74"/>
      <c r="BF21" s="62"/>
      <c r="BG21" s="75"/>
      <c r="BH21" s="75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</row>
    <row r="22" ht="15.0" customHeight="1">
      <c r="A22" s="62"/>
      <c r="B22" s="83"/>
      <c r="C22" s="83"/>
      <c r="D22" s="83"/>
      <c r="E22" s="67"/>
      <c r="F22" s="67"/>
      <c r="G22" s="68"/>
      <c r="H22" s="79"/>
      <c r="I22" s="65"/>
      <c r="J22" s="64"/>
      <c r="K22" s="80"/>
      <c r="L22" s="64"/>
      <c r="M22" s="67"/>
      <c r="N22" s="81"/>
      <c r="O22" s="81"/>
      <c r="P22" s="67"/>
      <c r="Q22" s="94"/>
      <c r="R22" s="67"/>
      <c r="S22" s="67"/>
      <c r="T22" s="67"/>
      <c r="U22" s="92"/>
      <c r="V22" s="93"/>
      <c r="W22" s="93"/>
      <c r="X22" s="95"/>
      <c r="Y22" s="94"/>
      <c r="Z22" s="64"/>
      <c r="AA22" s="64"/>
      <c r="AB22" s="64"/>
      <c r="AC22" s="64"/>
      <c r="AD22" s="64"/>
      <c r="AE22" s="94"/>
      <c r="AF22" s="94"/>
      <c r="AG22" s="67"/>
      <c r="AH22" s="95"/>
      <c r="AI22" s="94"/>
      <c r="AJ22" s="84"/>
      <c r="AK22" s="84"/>
      <c r="AL22" s="84"/>
      <c r="AM22" s="67"/>
      <c r="AN22" s="67"/>
      <c r="AO22" s="67"/>
      <c r="AP22" s="67"/>
      <c r="AQ22" s="84"/>
      <c r="AR22" s="84"/>
      <c r="AS22" s="67"/>
      <c r="AT22" s="67"/>
      <c r="AU22" s="94"/>
      <c r="AV22" s="94"/>
      <c r="AW22" s="94"/>
      <c r="AX22" s="94"/>
      <c r="AY22" s="67"/>
      <c r="AZ22" s="68"/>
      <c r="BA22" s="62"/>
      <c r="BB22" s="68"/>
      <c r="BC22" s="70"/>
      <c r="BD22" s="70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</row>
    <row r="23" ht="89.25" customHeight="1">
      <c r="A23" s="62"/>
      <c r="B23" s="96" t="s">
        <v>120</v>
      </c>
      <c r="C23" s="97"/>
      <c r="D23" s="96"/>
      <c r="E23" s="98"/>
      <c r="F23" s="97"/>
      <c r="G23" s="97"/>
      <c r="H23" s="97"/>
      <c r="I23" s="97"/>
      <c r="J23" s="97"/>
      <c r="K23" s="99"/>
      <c r="L23" s="100"/>
      <c r="M23" s="101"/>
      <c r="N23" s="102"/>
      <c r="O23" s="102"/>
      <c r="P23" s="103" t="s">
        <v>121</v>
      </c>
      <c r="Q23" s="103" t="s">
        <v>122</v>
      </c>
      <c r="R23" s="103" t="s">
        <v>123</v>
      </c>
      <c r="S23" s="103" t="s">
        <v>124</v>
      </c>
      <c r="T23" s="104" t="s">
        <v>125</v>
      </c>
      <c r="U23" s="105"/>
      <c r="V23" s="106"/>
      <c r="W23" s="107" t="s">
        <v>126</v>
      </c>
      <c r="X23" s="108"/>
      <c r="Y23" s="103" t="s">
        <v>127</v>
      </c>
      <c r="Z23" s="100"/>
      <c r="AA23" s="100"/>
      <c r="AB23" s="100"/>
      <c r="AC23" s="103" t="s">
        <v>128</v>
      </c>
      <c r="AD23" s="103"/>
      <c r="AE23" s="104" t="s">
        <v>129</v>
      </c>
      <c r="AF23" s="104" t="s">
        <v>130</v>
      </c>
      <c r="AG23" s="101"/>
      <c r="AH23" s="108"/>
      <c r="AI23" s="103" t="s">
        <v>131</v>
      </c>
      <c r="AJ23" s="109"/>
      <c r="AK23" s="103" t="s">
        <v>132</v>
      </c>
      <c r="AL23" s="103"/>
      <c r="AM23" s="101"/>
      <c r="AN23" s="104" t="s">
        <v>133</v>
      </c>
      <c r="AO23" s="101"/>
      <c r="AP23" s="101"/>
      <c r="AQ23" s="110"/>
      <c r="AR23" s="109"/>
      <c r="AS23" s="101"/>
      <c r="AT23" s="101"/>
      <c r="AU23" s="111"/>
      <c r="AV23" s="111"/>
      <c r="AW23" s="111"/>
      <c r="AX23" s="111"/>
      <c r="AY23" s="104" t="s">
        <v>134</v>
      </c>
      <c r="AZ23" s="112"/>
      <c r="BA23" s="112"/>
      <c r="BB23" s="112"/>
      <c r="BC23" s="113"/>
      <c r="BD23" s="70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</row>
    <row r="24" ht="15.75" customHeight="1">
      <c r="A24" s="62"/>
      <c r="B24" s="79"/>
      <c r="C24" s="62"/>
      <c r="D24" s="62"/>
      <c r="E24" s="114"/>
      <c r="F24" s="114"/>
      <c r="G24" s="114"/>
      <c r="H24" s="115"/>
      <c r="I24" s="69"/>
      <c r="J24" s="62"/>
      <c r="K24" s="62"/>
      <c r="L24" s="62"/>
      <c r="M24" s="62"/>
      <c r="N24" s="62"/>
      <c r="O24" s="62"/>
      <c r="P24" s="67"/>
      <c r="Q24" s="84"/>
      <c r="R24" s="84"/>
      <c r="S24" s="67"/>
      <c r="T24" s="67"/>
      <c r="U24" s="93"/>
      <c r="V24" s="93"/>
      <c r="W24" s="93"/>
      <c r="X24" s="84"/>
      <c r="Y24" s="64"/>
      <c r="Z24" s="93"/>
      <c r="AA24" s="93"/>
      <c r="AB24" s="84"/>
      <c r="AC24" s="64"/>
      <c r="AD24" s="64"/>
      <c r="AE24" s="84"/>
      <c r="AF24" s="84"/>
      <c r="AG24" s="84"/>
      <c r="AH24" s="84"/>
      <c r="AI24" s="84"/>
      <c r="AJ24" s="67"/>
      <c r="AK24" s="84"/>
      <c r="AL24" s="84"/>
      <c r="AM24" s="67"/>
      <c r="AN24" s="84"/>
      <c r="AO24" s="84"/>
      <c r="AP24" s="84"/>
      <c r="AQ24" s="84"/>
      <c r="AR24" s="84"/>
      <c r="AS24" s="67"/>
      <c r="AT24" s="67"/>
      <c r="AU24" s="67"/>
      <c r="AV24" s="67"/>
      <c r="AW24" s="67"/>
      <c r="AX24" s="67"/>
      <c r="AY24" s="84"/>
      <c r="AZ24" s="64"/>
      <c r="BA24" s="64"/>
      <c r="BB24" s="64"/>
      <c r="BC24" s="116"/>
      <c r="BD24" s="116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</row>
    <row r="25" ht="14.25" customHeight="1">
      <c r="A25" s="51"/>
      <c r="B25" s="117" t="s">
        <v>135</v>
      </c>
      <c r="C25" s="12"/>
      <c r="D25" s="55"/>
      <c r="E25" s="53"/>
      <c r="F25" s="53"/>
      <c r="G25" s="53"/>
      <c r="H25" s="54"/>
      <c r="I25" s="55"/>
      <c r="J25" s="56"/>
      <c r="K25" s="56"/>
      <c r="L25" s="56"/>
      <c r="M25" s="56"/>
      <c r="N25" s="56"/>
      <c r="O25" s="56"/>
      <c r="P25" s="57"/>
      <c r="Q25" s="53"/>
      <c r="R25" s="57"/>
      <c r="S25" s="53"/>
      <c r="T25" s="53"/>
      <c r="U25" s="118"/>
      <c r="V25" s="118"/>
      <c r="W25" s="118"/>
      <c r="X25" s="53"/>
      <c r="Y25" s="53"/>
      <c r="Z25" s="118"/>
      <c r="AA25" s="118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7"/>
      <c r="AT25" s="57"/>
      <c r="AU25" s="57"/>
      <c r="AV25" s="57"/>
      <c r="AW25" s="57"/>
      <c r="AX25" s="57"/>
      <c r="AY25" s="53"/>
      <c r="AZ25" s="59"/>
      <c r="BA25" s="59"/>
      <c r="BB25" s="59"/>
      <c r="BC25" s="119"/>
      <c r="BD25" s="119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</row>
    <row r="26" ht="15.75" customHeight="1">
      <c r="A26" s="62">
        <v>1.0</v>
      </c>
      <c r="B26" s="66">
        <v>146121.0</v>
      </c>
      <c r="C26" s="66" t="s">
        <v>136</v>
      </c>
      <c r="D26" s="66" t="s">
        <v>137</v>
      </c>
      <c r="E26" s="67" t="s">
        <v>69</v>
      </c>
      <c r="F26" s="120"/>
      <c r="G26" s="64" t="s">
        <v>79</v>
      </c>
      <c r="H26" s="65"/>
      <c r="I26" s="65" t="s">
        <v>138</v>
      </c>
      <c r="J26" s="68"/>
      <c r="K26" s="121"/>
      <c r="L26" s="121"/>
      <c r="M26" s="121"/>
      <c r="N26" s="121"/>
      <c r="O26" s="72">
        <v>0.82</v>
      </c>
      <c r="P26" s="68">
        <v>3.0</v>
      </c>
      <c r="Q26" s="68">
        <v>3.0</v>
      </c>
      <c r="R26" s="68">
        <v>3.0</v>
      </c>
      <c r="S26" s="68">
        <v>6.0</v>
      </c>
      <c r="T26" s="67" t="s">
        <v>69</v>
      </c>
      <c r="U26" s="122">
        <v>88.0</v>
      </c>
      <c r="V26" s="123">
        <v>0.0</v>
      </c>
      <c r="W26" s="122">
        <v>5.0</v>
      </c>
      <c r="X26" s="72">
        <f>(U26-V26)/U26</f>
        <v>1</v>
      </c>
      <c r="Y26" s="67" t="s">
        <v>69</v>
      </c>
      <c r="Z26" s="68" t="s">
        <v>75</v>
      </c>
      <c r="AA26" s="68" t="s">
        <v>75</v>
      </c>
      <c r="AB26" s="68" t="s">
        <v>75</v>
      </c>
      <c r="AC26" s="68" t="s">
        <v>75</v>
      </c>
      <c r="AD26" s="64">
        <v>22.0</v>
      </c>
      <c r="AE26" s="67">
        <v>0.0</v>
      </c>
      <c r="AF26" s="64" t="s">
        <v>105</v>
      </c>
      <c r="AG26" s="68" t="s">
        <v>69</v>
      </c>
      <c r="AH26" s="72" t="s">
        <v>82</v>
      </c>
      <c r="AI26" s="68" t="s">
        <v>82</v>
      </c>
      <c r="AJ26" s="68" t="s">
        <v>82</v>
      </c>
      <c r="AK26" s="68" t="s">
        <v>82</v>
      </c>
      <c r="AL26" s="64">
        <v>0.0</v>
      </c>
      <c r="AM26" s="64">
        <v>4.0</v>
      </c>
      <c r="AN26" s="64">
        <v>2.0</v>
      </c>
      <c r="AO26" s="64">
        <v>0.0</v>
      </c>
      <c r="AP26" s="64" t="s">
        <v>69</v>
      </c>
      <c r="AQ26" s="64">
        <v>3.0</v>
      </c>
      <c r="AR26" s="64">
        <v>1.0</v>
      </c>
      <c r="AS26" s="64">
        <v>2.0</v>
      </c>
      <c r="AT26" s="64">
        <v>1.0</v>
      </c>
      <c r="AU26" s="64">
        <v>1.0</v>
      </c>
      <c r="AV26" s="64">
        <v>1.0</v>
      </c>
      <c r="AW26" s="64">
        <v>1.0</v>
      </c>
      <c r="AX26" s="64">
        <v>1.0</v>
      </c>
      <c r="AY26" s="64">
        <v>1.0</v>
      </c>
      <c r="AZ26" s="64"/>
      <c r="BA26" s="64"/>
      <c r="BB26" s="64"/>
      <c r="BC26" s="78"/>
      <c r="BD26" s="78"/>
      <c r="BE26" s="74" t="str">
        <f t="shared" ref="BE26:BE30" si="14">IF(O26&gt;60%,"YES","No")</f>
        <v>YES</v>
      </c>
      <c r="BF26" s="62" t="str">
        <f>C26</f>
        <v>KBHCCD Expansion</v>
      </c>
      <c r="BG26" s="75" t="str">
        <f>I26</f>
        <v>Jim Johnson</v>
      </c>
      <c r="BH26" s="75" t="str">
        <f>IF(BA26&gt;65%,"No need to contact","need to contact")</f>
        <v>need to contact</v>
      </c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</row>
    <row r="27" ht="15.75" customHeight="1">
      <c r="A27" s="62">
        <v>2.0</v>
      </c>
      <c r="B27" s="66">
        <v>146123.0</v>
      </c>
      <c r="C27" s="66" t="s">
        <v>139</v>
      </c>
      <c r="D27" s="66" t="s">
        <v>137</v>
      </c>
      <c r="E27" s="67" t="s">
        <v>69</v>
      </c>
      <c r="F27" s="94"/>
      <c r="G27" s="68" t="s">
        <v>113</v>
      </c>
      <c r="H27" s="62"/>
      <c r="I27" s="70" t="s">
        <v>140</v>
      </c>
      <c r="J27" s="69"/>
      <c r="K27" s="65"/>
      <c r="L27" s="68"/>
      <c r="M27" s="121"/>
      <c r="N27" s="121"/>
      <c r="O27" s="72">
        <v>0.92</v>
      </c>
      <c r="P27" s="68">
        <v>4.0</v>
      </c>
      <c r="Q27" s="68">
        <v>3.0</v>
      </c>
      <c r="R27" s="68">
        <v>4.0</v>
      </c>
      <c r="S27" s="68">
        <v>6.0</v>
      </c>
      <c r="T27" s="68" t="s">
        <v>69</v>
      </c>
      <c r="U27" s="68">
        <v>36.0</v>
      </c>
      <c r="V27" s="68">
        <v>130.0</v>
      </c>
      <c r="W27" s="68">
        <v>1.0</v>
      </c>
      <c r="X27" s="72">
        <v>0.0</v>
      </c>
      <c r="Y27" s="68" t="s">
        <v>74</v>
      </c>
      <c r="Z27" s="68" t="s">
        <v>75</v>
      </c>
      <c r="AA27" s="68" t="s">
        <v>75</v>
      </c>
      <c r="AB27" s="68" t="s">
        <v>75</v>
      </c>
      <c r="AC27" s="68" t="s">
        <v>75</v>
      </c>
      <c r="AD27" s="68">
        <v>22.0</v>
      </c>
      <c r="AE27" s="68">
        <v>1.0</v>
      </c>
      <c r="AF27" s="68" t="s">
        <v>76</v>
      </c>
      <c r="AG27" s="68" t="s">
        <v>74</v>
      </c>
      <c r="AH27" s="72">
        <v>0.5</v>
      </c>
      <c r="AI27" s="68" t="s">
        <v>69</v>
      </c>
      <c r="AJ27" s="72">
        <v>0.5</v>
      </c>
      <c r="AK27" s="68" t="s">
        <v>69</v>
      </c>
      <c r="AL27" s="68">
        <v>10.0</v>
      </c>
      <c r="AM27" s="68">
        <v>2.0</v>
      </c>
      <c r="AN27" s="68">
        <v>3.0</v>
      </c>
      <c r="AO27" s="68">
        <v>1.0</v>
      </c>
      <c r="AP27" s="68" t="s">
        <v>69</v>
      </c>
      <c r="AQ27" s="68">
        <v>2.0</v>
      </c>
      <c r="AR27" s="68">
        <v>1.0</v>
      </c>
      <c r="AS27" s="68">
        <v>1.0</v>
      </c>
      <c r="AT27" s="68">
        <v>1.0</v>
      </c>
      <c r="AU27" s="68">
        <v>1.0</v>
      </c>
      <c r="AV27" s="68">
        <v>1.0</v>
      </c>
      <c r="AW27" s="68">
        <v>1.0</v>
      </c>
      <c r="AX27" s="68">
        <v>1.0</v>
      </c>
      <c r="AY27" s="68">
        <v>1.0</v>
      </c>
      <c r="AZ27" s="68"/>
      <c r="BA27" s="68"/>
      <c r="BB27" s="68"/>
      <c r="BC27" s="68"/>
      <c r="BD27" s="68"/>
      <c r="BE27" s="74" t="str">
        <f t="shared" si="14"/>
        <v>YES</v>
      </c>
      <c r="BF27" s="70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</row>
    <row r="28" ht="15.75" customHeight="1">
      <c r="A28" s="62"/>
      <c r="B28" s="83">
        <v>146110.001</v>
      </c>
      <c r="C28" s="83" t="s">
        <v>141</v>
      </c>
      <c r="D28" s="83" t="s">
        <v>137</v>
      </c>
      <c r="E28" s="73" t="s">
        <v>74</v>
      </c>
      <c r="F28" s="67"/>
      <c r="G28" s="73" t="s">
        <v>142</v>
      </c>
      <c r="H28" s="62"/>
      <c r="I28" s="65" t="s">
        <v>143</v>
      </c>
      <c r="J28" s="69" t="s">
        <v>144</v>
      </c>
      <c r="K28" s="65" t="s">
        <v>143</v>
      </c>
      <c r="L28" s="68"/>
      <c r="M28" s="121"/>
      <c r="N28" s="121"/>
      <c r="O28" s="72">
        <v>1.0</v>
      </c>
      <c r="P28" s="68">
        <v>4.0</v>
      </c>
      <c r="Q28" s="68">
        <v>4.0</v>
      </c>
      <c r="R28" s="68">
        <v>4.0</v>
      </c>
      <c r="S28" s="68">
        <v>6.0</v>
      </c>
      <c r="T28" s="67" t="s">
        <v>69</v>
      </c>
      <c r="U28" s="68">
        <v>100.0</v>
      </c>
      <c r="V28" s="68">
        <v>24.0</v>
      </c>
      <c r="W28" s="68">
        <v>4.0</v>
      </c>
      <c r="X28" s="72">
        <f>(U28-V28)/U28</f>
        <v>0.76</v>
      </c>
      <c r="Y28" s="68" t="s">
        <v>74</v>
      </c>
      <c r="Z28" s="68" t="s">
        <v>75</v>
      </c>
      <c r="AA28" s="68" t="s">
        <v>75</v>
      </c>
      <c r="AB28" s="68" t="s">
        <v>75</v>
      </c>
      <c r="AC28" s="68" t="s">
        <v>75</v>
      </c>
      <c r="AD28" s="68">
        <v>22.0</v>
      </c>
      <c r="AE28" s="68">
        <v>1.0</v>
      </c>
      <c r="AF28" s="68" t="s">
        <v>105</v>
      </c>
      <c r="AG28" s="68" t="s">
        <v>69</v>
      </c>
      <c r="AH28" s="72" t="s">
        <v>82</v>
      </c>
      <c r="AI28" s="68" t="s">
        <v>82</v>
      </c>
      <c r="AJ28" s="68" t="s">
        <v>82</v>
      </c>
      <c r="AK28" s="68" t="s">
        <v>82</v>
      </c>
      <c r="AL28" s="68">
        <v>4.0</v>
      </c>
      <c r="AM28" s="68">
        <v>3.0</v>
      </c>
      <c r="AN28" s="68">
        <v>3.0</v>
      </c>
      <c r="AO28" s="68">
        <v>1.0</v>
      </c>
      <c r="AP28" s="68"/>
      <c r="AQ28" s="68">
        <v>3.0</v>
      </c>
      <c r="AR28" s="68"/>
      <c r="AS28" s="68">
        <v>0.0</v>
      </c>
      <c r="AT28" s="68">
        <v>0.0</v>
      </c>
      <c r="AU28" s="68">
        <v>0.0</v>
      </c>
      <c r="AV28" s="68">
        <v>0.0</v>
      </c>
      <c r="AW28" s="68">
        <v>0.0</v>
      </c>
      <c r="AX28" s="68">
        <v>0.0</v>
      </c>
      <c r="AY28" s="68">
        <v>1.0</v>
      </c>
      <c r="AZ28" s="68"/>
      <c r="BA28" s="68"/>
      <c r="BB28" s="68"/>
      <c r="BC28" s="68"/>
      <c r="BD28" s="68"/>
      <c r="BE28" s="74" t="str">
        <f t="shared" si="14"/>
        <v>YES</v>
      </c>
      <c r="BF28" s="70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</row>
    <row r="29" ht="15.75" customHeight="1">
      <c r="A29" s="62"/>
      <c r="B29" s="83">
        <v>146122.0</v>
      </c>
      <c r="C29" s="83" t="s">
        <v>145</v>
      </c>
      <c r="D29" s="83" t="s">
        <v>137</v>
      </c>
      <c r="E29" s="73" t="s">
        <v>74</v>
      </c>
      <c r="F29" s="67"/>
      <c r="G29" s="73" t="s">
        <v>142</v>
      </c>
      <c r="H29" s="62"/>
      <c r="I29" s="65" t="s">
        <v>146</v>
      </c>
      <c r="J29" s="69"/>
      <c r="K29" s="65"/>
      <c r="L29" s="68"/>
      <c r="M29" s="121"/>
      <c r="N29" s="121"/>
      <c r="O29" s="82">
        <v>0.0</v>
      </c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4" t="str">
        <f t="shared" si="14"/>
        <v>No</v>
      </c>
      <c r="BF29" s="70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</row>
    <row r="30" ht="15.75" customHeight="1">
      <c r="A30" s="62"/>
      <c r="B30" s="83">
        <v>146108.0</v>
      </c>
      <c r="C30" s="83" t="s">
        <v>147</v>
      </c>
      <c r="D30" s="83" t="s">
        <v>137</v>
      </c>
      <c r="E30" s="73" t="s">
        <v>74</v>
      </c>
      <c r="F30" s="65" t="s">
        <v>148</v>
      </c>
      <c r="G30" s="68" t="s">
        <v>149</v>
      </c>
      <c r="H30" s="65"/>
      <c r="I30" s="65" t="s">
        <v>150</v>
      </c>
      <c r="J30" s="68"/>
      <c r="K30" s="121"/>
      <c r="L30" s="121"/>
      <c r="M30" s="121"/>
      <c r="N30" s="121"/>
      <c r="O30" s="121"/>
      <c r="P30" s="68"/>
      <c r="Q30" s="68"/>
      <c r="R30" s="68"/>
      <c r="S30" s="68"/>
      <c r="T30" s="68"/>
      <c r="U30" s="68"/>
      <c r="V30" s="68"/>
      <c r="W30" s="68"/>
      <c r="X30" s="72"/>
      <c r="Y30" s="68"/>
      <c r="Z30" s="68"/>
      <c r="AA30" s="68"/>
      <c r="AB30" s="68"/>
      <c r="AC30" s="68"/>
      <c r="AD30" s="68"/>
      <c r="AE30" s="68"/>
      <c r="AF30" s="68"/>
      <c r="AG30" s="68"/>
      <c r="AH30" s="72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72"/>
      <c r="BB30" s="68"/>
      <c r="BC30" s="70"/>
      <c r="BD30" s="70"/>
      <c r="BE30" s="74" t="str">
        <f t="shared" si="14"/>
        <v>No</v>
      </c>
      <c r="BF30" s="62" t="str">
        <f>C30</f>
        <v>Texas Farm Bureau Waco HQ Renovations (Only Concept)</v>
      </c>
      <c r="BG30" s="75" t="str">
        <f>I30</f>
        <v>Strasius, John</v>
      </c>
      <c r="BH30" s="75" t="str">
        <f>IF(BA30&gt;65%,"No need to contact","need to contact")</f>
        <v>need to contact</v>
      </c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</row>
    <row r="31" ht="15.75" customHeight="1">
      <c r="A31" s="62"/>
      <c r="B31" s="83">
        <v>146106.001</v>
      </c>
      <c r="C31" s="83" t="s">
        <v>151</v>
      </c>
      <c r="D31" s="83" t="s">
        <v>137</v>
      </c>
      <c r="E31" s="73" t="s">
        <v>74</v>
      </c>
      <c r="F31" s="67"/>
      <c r="G31" s="68" t="s">
        <v>152</v>
      </c>
      <c r="H31" s="62"/>
      <c r="I31" s="65" t="s">
        <v>143</v>
      </c>
      <c r="J31" s="69"/>
      <c r="K31" s="65"/>
      <c r="L31" s="68"/>
      <c r="M31" s="121"/>
      <c r="N31" s="121"/>
      <c r="O31" s="121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4"/>
      <c r="BF31" s="70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</row>
    <row r="32" ht="15.75" customHeight="1">
      <c r="A32" s="62"/>
      <c r="B32" s="83">
        <v>146121.004</v>
      </c>
      <c r="C32" s="83" t="s">
        <v>153</v>
      </c>
      <c r="D32" s="83" t="s">
        <v>137</v>
      </c>
      <c r="E32" s="73" t="s">
        <v>74</v>
      </c>
      <c r="F32" s="67"/>
      <c r="G32" s="68" t="s">
        <v>152</v>
      </c>
      <c r="H32" s="62"/>
      <c r="I32" s="65" t="s">
        <v>138</v>
      </c>
      <c r="J32" s="69"/>
      <c r="K32" s="65"/>
      <c r="L32" s="68"/>
      <c r="M32" s="121"/>
      <c r="N32" s="121"/>
      <c r="O32" s="121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4"/>
      <c r="BF32" s="70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</row>
    <row r="33" ht="15.75" customHeight="1">
      <c r="A33" s="62"/>
      <c r="B33" s="83">
        <v>146122.002</v>
      </c>
      <c r="C33" s="83" t="s">
        <v>154</v>
      </c>
      <c r="D33" s="83" t="s">
        <v>137</v>
      </c>
      <c r="E33" s="73" t="s">
        <v>74</v>
      </c>
      <c r="F33" s="67"/>
      <c r="G33" s="68" t="s">
        <v>152</v>
      </c>
      <c r="H33" s="62"/>
      <c r="I33" s="65" t="s">
        <v>138</v>
      </c>
      <c r="J33" s="69"/>
      <c r="K33" s="65"/>
      <c r="L33" s="68"/>
      <c r="M33" s="121"/>
      <c r="N33" s="121"/>
      <c r="O33" s="121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4"/>
      <c r="BF33" s="70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</row>
    <row r="34" ht="15.75" customHeight="1">
      <c r="A34" s="62"/>
      <c r="B34" s="83">
        <v>146123.003</v>
      </c>
      <c r="C34" s="83" t="s">
        <v>155</v>
      </c>
      <c r="D34" s="83" t="s">
        <v>137</v>
      </c>
      <c r="E34" s="73" t="s">
        <v>74</v>
      </c>
      <c r="F34" s="67"/>
      <c r="G34" s="68" t="s">
        <v>152</v>
      </c>
      <c r="H34" s="62"/>
      <c r="I34" s="65" t="s">
        <v>138</v>
      </c>
      <c r="J34" s="69"/>
      <c r="K34" s="65"/>
      <c r="L34" s="68"/>
      <c r="M34" s="121"/>
      <c r="N34" s="121"/>
      <c r="O34" s="121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4"/>
      <c r="BF34" s="70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</row>
    <row r="35" ht="15.75" customHeight="1">
      <c r="A35" s="62"/>
      <c r="B35" s="83">
        <v>146121.001</v>
      </c>
      <c r="C35" s="83" t="s">
        <v>156</v>
      </c>
      <c r="D35" s="83" t="s">
        <v>137</v>
      </c>
      <c r="E35" s="73" t="s">
        <v>74</v>
      </c>
      <c r="F35" s="67"/>
      <c r="G35" s="68" t="s">
        <v>152</v>
      </c>
      <c r="H35" s="62"/>
      <c r="I35" s="65" t="s">
        <v>138</v>
      </c>
      <c r="J35" s="69"/>
      <c r="K35" s="65"/>
      <c r="L35" s="68"/>
      <c r="M35" s="121"/>
      <c r="N35" s="121"/>
      <c r="O35" s="121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4"/>
      <c r="BF35" s="70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</row>
    <row r="36" ht="15.75" customHeight="1">
      <c r="A36" s="62"/>
      <c r="B36" s="83">
        <v>146110.0</v>
      </c>
      <c r="C36" s="79" t="s">
        <v>157</v>
      </c>
      <c r="D36" s="83" t="s">
        <v>137</v>
      </c>
      <c r="E36" s="73" t="s">
        <v>74</v>
      </c>
      <c r="F36" s="67" t="s">
        <v>69</v>
      </c>
      <c r="G36" s="68" t="s">
        <v>93</v>
      </c>
      <c r="H36" s="79" t="s">
        <v>98</v>
      </c>
      <c r="I36" s="65" t="s">
        <v>158</v>
      </c>
      <c r="J36" s="64" t="s">
        <v>159</v>
      </c>
      <c r="K36" s="80"/>
      <c r="L36" s="64"/>
      <c r="M36" s="67" t="s">
        <v>69</v>
      </c>
      <c r="N36" s="72">
        <v>0.0</v>
      </c>
      <c r="O36" s="72"/>
      <c r="P36" s="68"/>
      <c r="Q36" s="68"/>
      <c r="R36" s="68"/>
      <c r="S36" s="68"/>
      <c r="T36" s="68"/>
      <c r="U36" s="68">
        <v>100.0</v>
      </c>
      <c r="V36" s="68">
        <v>24.0</v>
      </c>
      <c r="W36" s="68"/>
      <c r="X36" s="72">
        <v>0.76</v>
      </c>
      <c r="Y36" s="68" t="s">
        <v>74</v>
      </c>
      <c r="Z36" s="68" t="s">
        <v>160</v>
      </c>
      <c r="AA36" s="68" t="s">
        <v>160</v>
      </c>
      <c r="AB36" s="68" t="s">
        <v>160</v>
      </c>
      <c r="AC36" s="68" t="s">
        <v>160</v>
      </c>
      <c r="AD36" s="68"/>
      <c r="AE36" s="68"/>
      <c r="AF36" s="68"/>
      <c r="AG36" s="68"/>
      <c r="AH36" s="72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72"/>
      <c r="BB36" s="68"/>
      <c r="BC36" s="70"/>
      <c r="BD36" s="70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</row>
    <row r="37" ht="15.75" customHeight="1">
      <c r="A37" s="62"/>
      <c r="B37" s="83">
        <v>146115.0</v>
      </c>
      <c r="C37" s="83" t="s">
        <v>161</v>
      </c>
      <c r="D37" s="83" t="s">
        <v>137</v>
      </c>
      <c r="E37" s="73" t="s">
        <v>74</v>
      </c>
      <c r="F37" s="67"/>
      <c r="G37" s="73" t="s">
        <v>142</v>
      </c>
      <c r="H37" s="69" t="s">
        <v>144</v>
      </c>
      <c r="I37" s="65" t="s">
        <v>143</v>
      </c>
      <c r="J37" s="64" t="s">
        <v>159</v>
      </c>
      <c r="K37" s="80"/>
      <c r="L37" s="64"/>
      <c r="M37" s="67" t="s">
        <v>69</v>
      </c>
      <c r="N37" s="72">
        <v>0.0</v>
      </c>
      <c r="O37" s="72">
        <v>0.74</v>
      </c>
      <c r="P37" s="68">
        <v>3.0</v>
      </c>
      <c r="Q37" s="68">
        <v>3.0</v>
      </c>
      <c r="R37" s="68">
        <v>4.0</v>
      </c>
      <c r="S37" s="68">
        <v>5.0</v>
      </c>
      <c r="T37" s="68" t="s">
        <v>74</v>
      </c>
      <c r="U37" s="68" t="s">
        <v>98</v>
      </c>
      <c r="V37" s="68" t="s">
        <v>75</v>
      </c>
      <c r="W37" s="68"/>
      <c r="X37" s="72" t="s">
        <v>75</v>
      </c>
      <c r="Y37" s="68" t="s">
        <v>74</v>
      </c>
      <c r="Z37" s="68" t="s">
        <v>75</v>
      </c>
      <c r="AA37" s="68" t="s">
        <v>75</v>
      </c>
      <c r="AB37" s="68" t="s">
        <v>75</v>
      </c>
      <c r="AC37" s="68" t="s">
        <v>75</v>
      </c>
      <c r="AD37" s="68">
        <v>12.0</v>
      </c>
      <c r="AE37" s="68"/>
      <c r="AF37" s="72" t="s">
        <v>82</v>
      </c>
      <c r="AG37" s="68" t="s">
        <v>74</v>
      </c>
      <c r="AH37" s="72" t="s">
        <v>82</v>
      </c>
      <c r="AI37" s="68" t="s">
        <v>82</v>
      </c>
      <c r="AJ37" s="68" t="s">
        <v>82</v>
      </c>
      <c r="AK37" s="68" t="s">
        <v>82</v>
      </c>
      <c r="AL37" s="68">
        <v>0.0</v>
      </c>
      <c r="AM37" s="68">
        <v>0.0</v>
      </c>
      <c r="AN37" s="68">
        <v>1.0</v>
      </c>
      <c r="AO37" s="68">
        <v>1.0</v>
      </c>
      <c r="AP37" s="68"/>
      <c r="AQ37" s="68">
        <v>1.0</v>
      </c>
      <c r="AR37" s="68"/>
      <c r="AS37" s="68">
        <v>1.0</v>
      </c>
      <c r="AT37" s="68">
        <v>1.0</v>
      </c>
      <c r="AU37" s="68">
        <v>1.0</v>
      </c>
      <c r="AV37" s="68">
        <v>1.0</v>
      </c>
      <c r="AW37" s="68">
        <v>1.0</v>
      </c>
      <c r="AX37" s="68">
        <v>1.0</v>
      </c>
      <c r="AY37" s="68">
        <v>1.0</v>
      </c>
      <c r="AZ37" s="68" t="str">
        <f>P37+Q37+R37+S37+AD37+AE37+AG37+AL37+AM37+AN37+AO37+AQ37+AS37+AT37+AU37+AV37+AW37+AX37+AY37</f>
        <v>#VALUE!</v>
      </c>
      <c r="BA37" s="72" t="str">
        <f>AZ37/67</f>
        <v>#VALUE!</v>
      </c>
      <c r="BB37" s="68" t="s">
        <v>77</v>
      </c>
      <c r="BC37" s="70"/>
      <c r="BD37" s="70"/>
      <c r="BE37" s="74" t="str">
        <f>IF(O37&gt;60%,"YES","No")</f>
        <v>YES</v>
      </c>
      <c r="BF37" s="62" t="str">
        <f>C37</f>
        <v>Aquarium and Attractions Complex (hold)</v>
      </c>
      <c r="BG37" s="75" t="str">
        <f>I37</f>
        <v>John Strasius/ Kristen Winters</v>
      </c>
      <c r="BH37" s="75" t="str">
        <f>IF(BA37&gt;65%,"No need to contact","need to contact")</f>
        <v>#VALUE!</v>
      </c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</row>
    <row r="38" ht="15.75" customHeight="1">
      <c r="A38" s="62"/>
      <c r="B38" s="83">
        <v>146106.0</v>
      </c>
      <c r="C38" s="79" t="s">
        <v>162</v>
      </c>
      <c r="D38" s="83" t="s">
        <v>137</v>
      </c>
      <c r="E38" s="73" t="s">
        <v>74</v>
      </c>
      <c r="F38" s="67"/>
      <c r="G38" s="73" t="s">
        <v>142</v>
      </c>
      <c r="H38" s="79" t="s">
        <v>98</v>
      </c>
      <c r="I38" s="65" t="s">
        <v>158</v>
      </c>
      <c r="J38" s="64" t="s">
        <v>159</v>
      </c>
      <c r="K38" s="80"/>
      <c r="L38" s="64"/>
      <c r="M38" s="73" t="s">
        <v>74</v>
      </c>
      <c r="N38" s="72">
        <v>0.0</v>
      </c>
      <c r="O38" s="72"/>
      <c r="P38" s="68"/>
      <c r="Q38" s="68"/>
      <c r="R38" s="68"/>
      <c r="S38" s="68"/>
      <c r="T38" s="68"/>
      <c r="U38" s="68"/>
      <c r="V38" s="68"/>
      <c r="W38" s="68"/>
      <c r="X38" s="72"/>
      <c r="Y38" s="68"/>
      <c r="Z38" s="68"/>
      <c r="AA38" s="68"/>
      <c r="AB38" s="68"/>
      <c r="AC38" s="68"/>
      <c r="AD38" s="68"/>
      <c r="AE38" s="68"/>
      <c r="AF38" s="68"/>
      <c r="AG38" s="68"/>
      <c r="AH38" s="72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72"/>
      <c r="BB38" s="68"/>
      <c r="BC38" s="70"/>
      <c r="BD38" s="70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</row>
    <row r="39" ht="15.75" customHeight="1">
      <c r="A39" s="62"/>
      <c r="B39" s="79"/>
      <c r="C39" s="62"/>
      <c r="D39" s="62"/>
      <c r="E39" s="124"/>
      <c r="F39" s="67"/>
      <c r="G39" s="68"/>
      <c r="H39" s="68"/>
      <c r="I39" s="69"/>
      <c r="J39" s="68"/>
      <c r="K39" s="121"/>
      <c r="L39" s="121"/>
      <c r="M39" s="121"/>
      <c r="N39" s="121"/>
      <c r="O39" s="121"/>
      <c r="P39" s="84"/>
      <c r="Q39" s="67"/>
      <c r="R39" s="67"/>
      <c r="S39" s="67"/>
      <c r="T39" s="67"/>
      <c r="U39" s="125"/>
      <c r="V39" s="125"/>
      <c r="W39" s="125"/>
      <c r="X39" s="67"/>
      <c r="Y39" s="67"/>
      <c r="Z39" s="126"/>
      <c r="AA39" s="126"/>
      <c r="AB39" s="64"/>
      <c r="AC39" s="64"/>
      <c r="AD39" s="64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2"/>
      <c r="AZ39" s="64"/>
      <c r="BA39" s="64"/>
      <c r="BB39" s="64"/>
      <c r="BC39" s="70"/>
      <c r="BD39" s="70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</row>
    <row r="40" ht="74.25" customHeight="1">
      <c r="A40" s="127"/>
      <c r="B40" s="96" t="s">
        <v>163</v>
      </c>
      <c r="C40" s="97"/>
      <c r="D40" s="96"/>
      <c r="E40" s="98"/>
      <c r="F40" s="97"/>
      <c r="G40" s="97"/>
      <c r="H40" s="97"/>
      <c r="I40" s="97"/>
      <c r="J40" s="97"/>
      <c r="K40" s="99"/>
      <c r="L40" s="100"/>
      <c r="M40" s="101"/>
      <c r="N40" s="102"/>
      <c r="O40" s="102"/>
      <c r="P40" s="103" t="s">
        <v>164</v>
      </c>
      <c r="Q40" s="103" t="s">
        <v>165</v>
      </c>
      <c r="R40" s="103" t="s">
        <v>166</v>
      </c>
      <c r="S40" s="103" t="s">
        <v>167</v>
      </c>
      <c r="T40" s="104" t="s">
        <v>125</v>
      </c>
      <c r="U40" s="105"/>
      <c r="V40" s="106"/>
      <c r="W40" s="107" t="s">
        <v>168</v>
      </c>
      <c r="X40" s="108"/>
      <c r="Y40" s="103" t="s">
        <v>169</v>
      </c>
      <c r="Z40" s="100"/>
      <c r="AA40" s="100"/>
      <c r="AB40" s="100"/>
      <c r="AC40" s="103" t="s">
        <v>170</v>
      </c>
      <c r="AD40" s="103"/>
      <c r="AE40" s="104" t="s">
        <v>129</v>
      </c>
      <c r="AF40" s="104" t="s">
        <v>130</v>
      </c>
      <c r="AG40" s="101"/>
      <c r="AH40" s="108"/>
      <c r="AI40" s="103" t="s">
        <v>171</v>
      </c>
      <c r="AJ40" s="109"/>
      <c r="AK40" s="103" t="s">
        <v>172</v>
      </c>
      <c r="AL40" s="103"/>
      <c r="AM40" s="101"/>
      <c r="AN40" s="104" t="s">
        <v>173</v>
      </c>
      <c r="AO40" s="101"/>
      <c r="AP40" s="101"/>
      <c r="AQ40" s="110"/>
      <c r="AR40" s="109"/>
      <c r="AS40" s="101"/>
      <c r="AT40" s="101"/>
      <c r="AU40" s="111"/>
      <c r="AV40" s="111"/>
      <c r="AW40" s="111"/>
      <c r="AX40" s="111"/>
      <c r="AY40" s="104" t="s">
        <v>174</v>
      </c>
      <c r="AZ40" s="112"/>
      <c r="BA40" s="112"/>
      <c r="BB40" s="112"/>
      <c r="BC40" s="113"/>
      <c r="BD40" s="70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</row>
    <row r="41" ht="15.75" customHeight="1">
      <c r="A41" s="62"/>
      <c r="B41" s="79"/>
      <c r="C41" s="62"/>
      <c r="D41" s="62"/>
      <c r="E41" s="67"/>
      <c r="F41" s="67"/>
      <c r="G41" s="68"/>
      <c r="H41" s="67"/>
      <c r="I41" s="69"/>
      <c r="J41" s="68"/>
      <c r="K41" s="121"/>
      <c r="L41" s="121"/>
      <c r="M41" s="121"/>
      <c r="N41" s="121"/>
      <c r="O41" s="121"/>
      <c r="P41" s="84"/>
      <c r="Q41" s="67"/>
      <c r="R41" s="67"/>
      <c r="S41" s="67"/>
      <c r="T41" s="67"/>
      <c r="U41" s="125"/>
      <c r="V41" s="125"/>
      <c r="W41" s="125"/>
      <c r="X41" s="67"/>
      <c r="Y41" s="64"/>
      <c r="Z41" s="126"/>
      <c r="AA41" s="126"/>
      <c r="AB41" s="64"/>
      <c r="AC41" s="64"/>
      <c r="AD41" s="64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2"/>
      <c r="AZ41" s="64"/>
      <c r="BA41" s="64"/>
      <c r="BB41" s="64"/>
      <c r="BC41" s="70"/>
      <c r="BD41" s="70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</row>
    <row r="42" ht="14.25" customHeight="1">
      <c r="A42" s="51"/>
      <c r="B42" s="117" t="s">
        <v>175</v>
      </c>
      <c r="C42" s="12"/>
      <c r="D42" s="55"/>
      <c r="E42" s="53"/>
      <c r="F42" s="53"/>
      <c r="G42" s="53"/>
      <c r="H42" s="53"/>
      <c r="I42" s="55"/>
      <c r="J42" s="56"/>
      <c r="K42" s="56"/>
      <c r="L42" s="56"/>
      <c r="M42" s="56"/>
      <c r="N42" s="56"/>
      <c r="O42" s="56"/>
      <c r="P42" s="57"/>
      <c r="Q42" s="53"/>
      <c r="R42" s="57"/>
      <c r="S42" s="53"/>
      <c r="T42" s="53"/>
      <c r="U42" s="118"/>
      <c r="V42" s="118"/>
      <c r="W42" s="118"/>
      <c r="X42" s="53"/>
      <c r="Y42" s="53"/>
      <c r="Z42" s="118"/>
      <c r="AA42" s="118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7"/>
      <c r="AT42" s="57"/>
      <c r="AU42" s="57"/>
      <c r="AV42" s="57"/>
      <c r="AW42" s="57"/>
      <c r="AX42" s="57"/>
      <c r="AY42" s="53"/>
      <c r="AZ42" s="59"/>
      <c r="BA42" s="59"/>
      <c r="BB42" s="59"/>
      <c r="BC42" s="59"/>
      <c r="BD42" s="59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</row>
    <row r="43" ht="14.25" customHeight="1">
      <c r="A43" s="79">
        <v>1.0</v>
      </c>
      <c r="B43" s="66">
        <v>147659.0</v>
      </c>
      <c r="C43" s="128" t="s">
        <v>176</v>
      </c>
      <c r="D43" s="128" t="s">
        <v>177</v>
      </c>
      <c r="E43" s="67" t="s">
        <v>69</v>
      </c>
      <c r="F43" s="64" t="s">
        <v>69</v>
      </c>
      <c r="G43" s="64" t="s">
        <v>96</v>
      </c>
      <c r="H43" s="63" t="s">
        <v>178</v>
      </c>
      <c r="I43" s="65" t="s">
        <v>179</v>
      </c>
      <c r="J43" s="64" t="s">
        <v>79</v>
      </c>
      <c r="K43" s="80" t="s">
        <v>180</v>
      </c>
      <c r="L43" s="64" t="s">
        <v>180</v>
      </c>
      <c r="M43" s="73" t="s">
        <v>74</v>
      </c>
      <c r="N43" s="81">
        <v>0.9</v>
      </c>
      <c r="O43" s="72">
        <v>1.0</v>
      </c>
      <c r="P43" s="68">
        <v>4.0</v>
      </c>
      <c r="Q43" s="68">
        <v>4.0</v>
      </c>
      <c r="R43" s="68">
        <v>4.0</v>
      </c>
      <c r="S43" s="68">
        <v>6.0</v>
      </c>
      <c r="T43" s="67" t="s">
        <v>69</v>
      </c>
      <c r="U43" s="129">
        <v>248.1</v>
      </c>
      <c r="V43" s="129">
        <v>139.9</v>
      </c>
      <c r="W43" s="129">
        <v>3.0</v>
      </c>
      <c r="X43" s="72">
        <f t="shared" ref="X43:X44" si="15">(U43-V43)/U43</f>
        <v>0.43611447</v>
      </c>
      <c r="Y43" s="68" t="s">
        <v>74</v>
      </c>
      <c r="Z43" s="130" t="s">
        <v>160</v>
      </c>
      <c r="AA43" s="130" t="s">
        <v>160</v>
      </c>
      <c r="AB43" s="130" t="s">
        <v>160</v>
      </c>
      <c r="AC43" s="130" t="s">
        <v>160</v>
      </c>
      <c r="AD43" s="68">
        <v>22.0</v>
      </c>
      <c r="AE43" s="68">
        <v>3.0</v>
      </c>
      <c r="AF43" s="68" t="s">
        <v>105</v>
      </c>
      <c r="AG43" s="67" t="s">
        <v>69</v>
      </c>
      <c r="AH43" s="131">
        <v>0.33</v>
      </c>
      <c r="AI43" s="132" t="s">
        <v>74</v>
      </c>
      <c r="AJ43" s="81">
        <v>0.7</v>
      </c>
      <c r="AK43" s="67" t="s">
        <v>69</v>
      </c>
      <c r="AL43" s="68">
        <v>10.0</v>
      </c>
      <c r="AM43" s="68">
        <v>4.0</v>
      </c>
      <c r="AN43" s="68">
        <v>3.0</v>
      </c>
      <c r="AO43" s="68">
        <v>1.0</v>
      </c>
      <c r="AP43" s="68" t="s">
        <v>69</v>
      </c>
      <c r="AQ43" s="68">
        <v>3.0</v>
      </c>
      <c r="AR43" s="68">
        <v>1.0</v>
      </c>
      <c r="AS43" s="68">
        <v>2.0</v>
      </c>
      <c r="AT43" s="68">
        <v>1.0</v>
      </c>
      <c r="AU43" s="68">
        <v>1.0</v>
      </c>
      <c r="AV43" s="68">
        <v>1.0</v>
      </c>
      <c r="AW43" s="68">
        <v>1.0</v>
      </c>
      <c r="AX43" s="68">
        <v>1.0</v>
      </c>
      <c r="AY43" s="68">
        <v>1.0</v>
      </c>
      <c r="AZ43" s="68" t="str">
        <f t="shared" ref="AZ43:AZ44" si="16">P43+Q43+R43+S43+AD43+AE43+AG43+AL43+AM43+AN43+AO43+AQ43+AS43+AT43+AU43+AV43+AW43+AX43+AY43</f>
        <v>#VALUE!</v>
      </c>
      <c r="BA43" s="72" t="str">
        <f t="shared" ref="BA43:BA44" si="17">AZ43/67</f>
        <v>#VALUE!</v>
      </c>
      <c r="BB43" s="68" t="s">
        <v>77</v>
      </c>
      <c r="BC43" s="133" t="s">
        <v>181</v>
      </c>
      <c r="BD43" s="133"/>
      <c r="BE43" s="74" t="str">
        <f t="shared" ref="BE43:BE44" si="18">IF(O43&gt;60%,"YES","No")</f>
        <v>YES</v>
      </c>
      <c r="BF43" s="62" t="str">
        <f t="shared" ref="BF43:BF44" si="19">C43</f>
        <v>PHMS-New Pediatric Campus - Hospital</v>
      </c>
      <c r="BG43" s="75" t="str">
        <f t="shared" ref="BG43:BG44" si="20">I43</f>
        <v>Juan Navarro / </v>
      </c>
      <c r="BH43" s="75" t="str">
        <f t="shared" ref="BH43:BH44" si="21">IF(BA43&gt;65%,"No need to contact","need to contact")</f>
        <v>#VALUE!</v>
      </c>
      <c r="BI43" s="134"/>
      <c r="BJ43" s="134"/>
      <c r="BK43" s="134"/>
      <c r="BL43" s="134"/>
      <c r="BM43" s="134"/>
      <c r="BN43" s="134"/>
      <c r="BO43" s="134"/>
      <c r="BP43" s="134"/>
      <c r="BQ43" s="134"/>
      <c r="BR43" s="134"/>
      <c r="BS43" s="134"/>
      <c r="BT43" s="134"/>
      <c r="BU43" s="134"/>
      <c r="BV43" s="134"/>
      <c r="BW43" s="134"/>
      <c r="BX43" s="134"/>
      <c r="BY43" s="134"/>
      <c r="BZ43" s="134"/>
      <c r="CA43" s="134"/>
      <c r="CB43" s="134"/>
    </row>
    <row r="44" ht="14.25" customHeight="1">
      <c r="A44" s="83">
        <v>2.0</v>
      </c>
      <c r="B44" s="66">
        <v>147788.0</v>
      </c>
      <c r="C44" s="128" t="s">
        <v>182</v>
      </c>
      <c r="D44" s="128" t="s">
        <v>177</v>
      </c>
      <c r="E44" s="67" t="s">
        <v>69</v>
      </c>
      <c r="F44" s="67"/>
      <c r="G44" s="68" t="s">
        <v>70</v>
      </c>
      <c r="H44" s="68" t="s">
        <v>70</v>
      </c>
      <c r="I44" s="69" t="s">
        <v>183</v>
      </c>
      <c r="J44" s="135"/>
      <c r="K44" s="62"/>
      <c r="L44" s="90"/>
      <c r="M44" s="90"/>
      <c r="N44" s="72">
        <v>0.0</v>
      </c>
      <c r="O44" s="72">
        <v>0.93</v>
      </c>
      <c r="P44" s="68">
        <v>4.0</v>
      </c>
      <c r="Q44" s="68">
        <v>3.0</v>
      </c>
      <c r="R44" s="68">
        <v>4.0</v>
      </c>
      <c r="S44" s="68">
        <v>5.0</v>
      </c>
      <c r="T44" s="68" t="s">
        <v>74</v>
      </c>
      <c r="U44" s="129">
        <v>274.0</v>
      </c>
      <c r="V44" s="129">
        <v>136.64</v>
      </c>
      <c r="W44" s="129">
        <v>3.0</v>
      </c>
      <c r="X44" s="72">
        <f t="shared" si="15"/>
        <v>0.5013138686</v>
      </c>
      <c r="Y44" s="68" t="s">
        <v>74</v>
      </c>
      <c r="Z44" s="130" t="s">
        <v>160</v>
      </c>
      <c r="AA44" s="130" t="s">
        <v>160</v>
      </c>
      <c r="AB44" s="130" t="s">
        <v>160</v>
      </c>
      <c r="AC44" s="130" t="s">
        <v>160</v>
      </c>
      <c r="AD44" s="68">
        <v>20.0</v>
      </c>
      <c r="AE44" s="68">
        <v>3.0</v>
      </c>
      <c r="AF44" s="68" t="s">
        <v>76</v>
      </c>
      <c r="AG44" s="68" t="s">
        <v>74</v>
      </c>
      <c r="AH44" s="131">
        <v>0.24</v>
      </c>
      <c r="AI44" s="132" t="s">
        <v>74</v>
      </c>
      <c r="AJ44" s="131">
        <v>0.11</v>
      </c>
      <c r="AK44" s="68" t="s">
        <v>74</v>
      </c>
      <c r="AL44" s="68">
        <v>10.0</v>
      </c>
      <c r="AM44" s="68">
        <v>2.0</v>
      </c>
      <c r="AN44" s="68">
        <v>1.0</v>
      </c>
      <c r="AO44" s="68">
        <v>1.0</v>
      </c>
      <c r="AP44" s="64" t="s">
        <v>184</v>
      </c>
      <c r="AQ44" s="68">
        <v>3.0</v>
      </c>
      <c r="AR44" s="68">
        <v>1.0</v>
      </c>
      <c r="AS44" s="68">
        <v>1.0</v>
      </c>
      <c r="AT44" s="68">
        <v>1.0</v>
      </c>
      <c r="AU44" s="68">
        <v>1.0</v>
      </c>
      <c r="AV44" s="68">
        <v>1.0</v>
      </c>
      <c r="AW44" s="68">
        <v>1.0</v>
      </c>
      <c r="AX44" s="68">
        <v>1.0</v>
      </c>
      <c r="AY44" s="68">
        <v>1.0</v>
      </c>
      <c r="AZ44" s="68" t="str">
        <f t="shared" si="16"/>
        <v>#VALUE!</v>
      </c>
      <c r="BA44" s="72" t="str">
        <f t="shared" si="17"/>
        <v>#VALUE!</v>
      </c>
      <c r="BB44" s="68" t="s">
        <v>185</v>
      </c>
      <c r="BC44" s="133" t="s">
        <v>186</v>
      </c>
      <c r="BD44" s="133"/>
      <c r="BE44" s="74" t="str">
        <f t="shared" si="18"/>
        <v>YES</v>
      </c>
      <c r="BF44" s="62" t="str">
        <f t="shared" si="19"/>
        <v>THP Plano Campus Bed Tower - This is the last report</v>
      </c>
      <c r="BG44" s="62" t="str">
        <f t="shared" si="20"/>
        <v>Wes Bowen / Jen Parlett</v>
      </c>
      <c r="BH44" s="62" t="str">
        <f t="shared" si="21"/>
        <v>#VALUE!</v>
      </c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</row>
    <row r="45" ht="15.0" customHeight="1">
      <c r="A45" s="79">
        <v>4.0</v>
      </c>
      <c r="B45" s="66">
        <v>147907.0</v>
      </c>
      <c r="C45" s="128" t="s">
        <v>187</v>
      </c>
      <c r="D45" s="128" t="s">
        <v>177</v>
      </c>
      <c r="E45" s="67" t="s">
        <v>69</v>
      </c>
      <c r="F45" s="62"/>
      <c r="G45" s="64" t="s">
        <v>96</v>
      </c>
      <c r="H45" s="62"/>
      <c r="I45" s="65" t="s">
        <v>188</v>
      </c>
      <c r="J45" s="62"/>
      <c r="K45" s="62"/>
      <c r="L45" s="62"/>
      <c r="M45" s="62"/>
      <c r="N45" s="62"/>
      <c r="O45" s="82">
        <v>0.0</v>
      </c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2"/>
      <c r="BA45" s="62"/>
      <c r="BB45" s="62"/>
      <c r="BC45" s="78"/>
      <c r="BD45" s="78"/>
      <c r="BE45" s="74" t="str">
        <f>IF(#REF!&gt;60%,"YES","No")</f>
        <v>#REF!</v>
      </c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</row>
    <row r="46" ht="15.75" customHeight="1">
      <c r="A46" s="79">
        <v>5.0</v>
      </c>
      <c r="B46" s="76">
        <v>147823.0</v>
      </c>
      <c r="C46" s="76" t="s">
        <v>189</v>
      </c>
      <c r="D46" s="128" t="s">
        <v>177</v>
      </c>
      <c r="E46" s="67" t="s">
        <v>69</v>
      </c>
      <c r="F46" s="69" t="s">
        <v>190</v>
      </c>
      <c r="G46" s="73" t="s">
        <v>191</v>
      </c>
      <c r="H46" s="69"/>
      <c r="I46" s="65" t="s">
        <v>188</v>
      </c>
      <c r="J46" s="68"/>
      <c r="K46" s="136"/>
      <c r="L46" s="136"/>
      <c r="M46" s="136"/>
      <c r="N46" s="72"/>
      <c r="O46" s="72">
        <v>0.77</v>
      </c>
      <c r="P46" s="68">
        <v>4.0</v>
      </c>
      <c r="Q46" s="68">
        <v>2.0</v>
      </c>
      <c r="R46" s="68">
        <v>0.0</v>
      </c>
      <c r="S46" s="68">
        <v>4.0</v>
      </c>
      <c r="T46" s="68" t="s">
        <v>74</v>
      </c>
      <c r="U46" s="68">
        <v>296.0</v>
      </c>
      <c r="V46" s="68">
        <v>162.8</v>
      </c>
      <c r="W46" s="129">
        <v>2.0</v>
      </c>
      <c r="X46" s="72">
        <f t="shared" ref="X46:X47" si="22">(U46-V46)/U46</f>
        <v>0.45</v>
      </c>
      <c r="Y46" s="68" t="s">
        <v>74</v>
      </c>
      <c r="Z46" s="68" t="s">
        <v>75</v>
      </c>
      <c r="AA46" s="68" t="s">
        <v>75</v>
      </c>
      <c r="AB46" s="68" t="s">
        <v>75</v>
      </c>
      <c r="AC46" s="68" t="s">
        <v>75</v>
      </c>
      <c r="AD46" s="68">
        <v>20.0</v>
      </c>
      <c r="AE46" s="68">
        <v>0.0</v>
      </c>
      <c r="AF46" s="68" t="s">
        <v>192</v>
      </c>
      <c r="AG46" s="68" t="s">
        <v>74</v>
      </c>
      <c r="AH46" s="72" t="s">
        <v>82</v>
      </c>
      <c r="AI46" s="72" t="s">
        <v>82</v>
      </c>
      <c r="AJ46" s="72" t="s">
        <v>82</v>
      </c>
      <c r="AK46" s="72" t="s">
        <v>82</v>
      </c>
      <c r="AL46" s="68">
        <v>4.0</v>
      </c>
      <c r="AM46" s="68">
        <v>2.0</v>
      </c>
      <c r="AN46" s="68">
        <v>1.0</v>
      </c>
      <c r="AO46" s="68">
        <v>1.0</v>
      </c>
      <c r="AP46" s="68"/>
      <c r="AQ46" s="68">
        <v>3.0</v>
      </c>
      <c r="AR46" s="68"/>
      <c r="AS46" s="68">
        <v>1.0</v>
      </c>
      <c r="AT46" s="68">
        <v>0.0</v>
      </c>
      <c r="AU46" s="68">
        <v>1.0</v>
      </c>
      <c r="AV46" s="68">
        <v>0.0</v>
      </c>
      <c r="AW46" s="68">
        <v>1.0</v>
      </c>
      <c r="AX46" s="68">
        <v>0.0</v>
      </c>
      <c r="AY46" s="68">
        <v>1.0</v>
      </c>
      <c r="AZ46" s="68"/>
      <c r="BA46" s="68"/>
      <c r="BB46" s="68"/>
      <c r="BC46" s="68"/>
      <c r="BD46" s="68"/>
      <c r="BE46" s="74" t="str">
        <f t="shared" ref="BE46:BE51" si="23">IF(O46&gt;60%,"YES","No")</f>
        <v>YES</v>
      </c>
      <c r="BF46" s="62" t="str">
        <f t="shared" ref="BF46:BF50" si="24">C46</f>
        <v>Tenet Health - Buckeye Hospital   This is the last report - Done</v>
      </c>
      <c r="BG46" s="75" t="str">
        <f t="shared" ref="BG46:BG50" si="25">I46</f>
        <v>Wes Bowen</v>
      </c>
      <c r="BH46" s="75" t="str">
        <f t="shared" ref="BH46:BH50" si="26">IF(BA46&gt;65%,"No need to contact","need to contact")</f>
        <v>need to contact</v>
      </c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</row>
    <row r="47" ht="15.75" customHeight="1">
      <c r="A47" s="79">
        <v>6.0</v>
      </c>
      <c r="B47" s="76">
        <v>147791.0</v>
      </c>
      <c r="C47" s="76" t="s">
        <v>193</v>
      </c>
      <c r="D47" s="128" t="s">
        <v>177</v>
      </c>
      <c r="E47" s="67" t="s">
        <v>69</v>
      </c>
      <c r="F47" s="69" t="s">
        <v>194</v>
      </c>
      <c r="G47" s="68" t="s">
        <v>96</v>
      </c>
      <c r="H47" s="69"/>
      <c r="I47" s="69" t="s">
        <v>195</v>
      </c>
      <c r="J47" s="68"/>
      <c r="K47" s="136"/>
      <c r="L47" s="136"/>
      <c r="M47" s="136"/>
      <c r="N47" s="72"/>
      <c r="O47" s="72">
        <v>0.85</v>
      </c>
      <c r="P47" s="68">
        <v>3.0</v>
      </c>
      <c r="Q47" s="68">
        <v>4.0</v>
      </c>
      <c r="R47" s="68">
        <v>4.0</v>
      </c>
      <c r="S47" s="68">
        <v>5.0</v>
      </c>
      <c r="T47" s="137" t="s">
        <v>74</v>
      </c>
      <c r="U47" s="137">
        <v>226.0</v>
      </c>
      <c r="V47" s="137">
        <v>113.0</v>
      </c>
      <c r="W47" s="138">
        <v>2.0</v>
      </c>
      <c r="X47" s="139">
        <f t="shared" si="22"/>
        <v>0.5</v>
      </c>
      <c r="Y47" s="137" t="s">
        <v>74</v>
      </c>
      <c r="Z47" s="137" t="s">
        <v>75</v>
      </c>
      <c r="AA47" s="137" t="s">
        <v>75</v>
      </c>
      <c r="AB47" s="137" t="s">
        <v>75</v>
      </c>
      <c r="AC47" s="137" t="s">
        <v>75</v>
      </c>
      <c r="AD47" s="137">
        <v>0.0</v>
      </c>
      <c r="AE47" s="68">
        <v>0.0</v>
      </c>
      <c r="AF47" s="68" t="s">
        <v>196</v>
      </c>
      <c r="AG47" s="68" t="s">
        <v>74</v>
      </c>
      <c r="AH47" s="137" t="s">
        <v>74</v>
      </c>
      <c r="AI47" s="137" t="s">
        <v>74</v>
      </c>
      <c r="AJ47" s="137" t="s">
        <v>74</v>
      </c>
      <c r="AK47" s="137" t="s">
        <v>74</v>
      </c>
      <c r="AL47" s="137" t="s">
        <v>74</v>
      </c>
      <c r="AM47" s="68">
        <v>1.0</v>
      </c>
      <c r="AN47" s="68">
        <v>1.0</v>
      </c>
      <c r="AO47" s="68">
        <v>1.0</v>
      </c>
      <c r="AP47" s="64" t="s">
        <v>69</v>
      </c>
      <c r="AQ47" s="68">
        <v>2.0</v>
      </c>
      <c r="AR47" s="68">
        <v>1.0</v>
      </c>
      <c r="AS47" s="68">
        <v>1.0</v>
      </c>
      <c r="AT47" s="68">
        <v>1.0</v>
      </c>
      <c r="AU47" s="68">
        <v>1.0</v>
      </c>
      <c r="AV47" s="68">
        <v>1.0</v>
      </c>
      <c r="AW47" s="68">
        <v>1.0</v>
      </c>
      <c r="AX47" s="68">
        <v>1.0</v>
      </c>
      <c r="AY47" s="68">
        <v>1.0</v>
      </c>
      <c r="AZ47" s="68">
        <v>0.0</v>
      </c>
      <c r="BA47" s="68">
        <v>0.0</v>
      </c>
      <c r="BB47" s="68">
        <v>0.0</v>
      </c>
      <c r="BC47" s="68"/>
      <c r="BD47" s="68"/>
      <c r="BE47" s="74" t="str">
        <f t="shared" si="23"/>
        <v>YES</v>
      </c>
      <c r="BF47" s="62" t="str">
        <f t="shared" si="24"/>
        <v>Bon Secours St Marys Expansion 2024  This is the last report</v>
      </c>
      <c r="BG47" s="62" t="str">
        <f t="shared" si="25"/>
        <v>Cory / Katherine</v>
      </c>
      <c r="BH47" s="62" t="str">
        <f t="shared" si="26"/>
        <v>need to contact</v>
      </c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</row>
    <row r="48" ht="15.75" customHeight="1">
      <c r="A48" s="79">
        <v>7.0</v>
      </c>
      <c r="B48" s="76">
        <v>147848.0</v>
      </c>
      <c r="C48" s="76" t="s">
        <v>197</v>
      </c>
      <c r="D48" s="128" t="s">
        <v>177</v>
      </c>
      <c r="E48" s="67" t="s">
        <v>69</v>
      </c>
      <c r="F48" s="69"/>
      <c r="G48" s="68" t="s">
        <v>96</v>
      </c>
      <c r="H48" s="69"/>
      <c r="I48" s="65" t="s">
        <v>198</v>
      </c>
      <c r="J48" s="68"/>
      <c r="K48" s="136"/>
      <c r="L48" s="136"/>
      <c r="M48" s="136"/>
      <c r="N48" s="72"/>
      <c r="O48" s="72">
        <v>0.9</v>
      </c>
      <c r="P48" s="68">
        <v>3.0</v>
      </c>
      <c r="Q48" s="68">
        <v>3.0</v>
      </c>
      <c r="R48" s="68">
        <v>4.0</v>
      </c>
      <c r="S48" s="68">
        <v>6.0</v>
      </c>
      <c r="T48" s="68" t="s">
        <v>75</v>
      </c>
      <c r="U48" s="68" t="s">
        <v>75</v>
      </c>
      <c r="V48" s="68" t="s">
        <v>75</v>
      </c>
      <c r="W48" s="129"/>
      <c r="X48" s="68" t="s">
        <v>75</v>
      </c>
      <c r="Y48" s="68" t="s">
        <v>75</v>
      </c>
      <c r="Z48" s="68" t="s">
        <v>75</v>
      </c>
      <c r="AA48" s="68" t="s">
        <v>75</v>
      </c>
      <c r="AB48" s="68" t="s">
        <v>75</v>
      </c>
      <c r="AC48" s="68" t="s">
        <v>75</v>
      </c>
      <c r="AD48" s="68">
        <v>7.0</v>
      </c>
      <c r="AE48" s="68">
        <v>0.0</v>
      </c>
      <c r="AF48" s="68" t="s">
        <v>196</v>
      </c>
      <c r="AG48" s="68" t="s">
        <v>74</v>
      </c>
      <c r="AH48" s="137" t="s">
        <v>74</v>
      </c>
      <c r="AI48" s="68" t="s">
        <v>74</v>
      </c>
      <c r="AJ48" s="68" t="s">
        <v>74</v>
      </c>
      <c r="AK48" s="68" t="s">
        <v>74</v>
      </c>
      <c r="AL48" s="68" t="s">
        <v>74</v>
      </c>
      <c r="AM48" s="68">
        <v>1.0</v>
      </c>
      <c r="AN48" s="68">
        <v>1.0</v>
      </c>
      <c r="AO48" s="68">
        <v>1.0</v>
      </c>
      <c r="AP48" s="64" t="s">
        <v>69</v>
      </c>
      <c r="AQ48" s="68">
        <v>2.0</v>
      </c>
      <c r="AR48" s="68">
        <v>1.0</v>
      </c>
      <c r="AS48" s="68">
        <v>1.0</v>
      </c>
      <c r="AT48" s="68">
        <v>1.0</v>
      </c>
      <c r="AU48" s="68">
        <v>1.0</v>
      </c>
      <c r="AV48" s="68">
        <v>1.0</v>
      </c>
      <c r="AW48" s="68">
        <v>1.0</v>
      </c>
      <c r="AX48" s="68">
        <v>1.0</v>
      </c>
      <c r="AY48" s="68">
        <v>1.0</v>
      </c>
      <c r="AZ48" s="64"/>
      <c r="BA48" s="64"/>
      <c r="BB48" s="64"/>
      <c r="BC48" s="140"/>
      <c r="BD48" s="140"/>
      <c r="BE48" s="74" t="str">
        <f t="shared" si="23"/>
        <v>YES</v>
      </c>
      <c r="BF48" s="62" t="str">
        <f t="shared" si="24"/>
        <v>Our Lady of the Lake ED Reno   This is the last report</v>
      </c>
      <c r="BG48" s="75" t="str">
        <f t="shared" si="25"/>
        <v>Cory Griffin / Katherine Busch</v>
      </c>
      <c r="BH48" s="75" t="str">
        <f t="shared" si="26"/>
        <v>need to contact</v>
      </c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</row>
    <row r="49" ht="15.75" customHeight="1">
      <c r="A49" s="79">
        <v>8.0</v>
      </c>
      <c r="B49" s="76">
        <v>147821.0</v>
      </c>
      <c r="C49" s="76" t="s">
        <v>199</v>
      </c>
      <c r="D49" s="128" t="s">
        <v>177</v>
      </c>
      <c r="E49" s="67" t="s">
        <v>69</v>
      </c>
      <c r="F49" s="69" t="s">
        <v>200</v>
      </c>
      <c r="G49" s="68" t="s">
        <v>96</v>
      </c>
      <c r="H49" s="69"/>
      <c r="I49" s="65" t="s">
        <v>201</v>
      </c>
      <c r="J49" s="68"/>
      <c r="K49" s="136"/>
      <c r="L49" s="136"/>
      <c r="M49" s="136"/>
      <c r="N49" s="72"/>
      <c r="O49" s="72">
        <v>0.64</v>
      </c>
      <c r="P49" s="68">
        <v>4.0</v>
      </c>
      <c r="Q49" s="68">
        <v>1.0</v>
      </c>
      <c r="R49" s="68">
        <v>3.0</v>
      </c>
      <c r="S49" s="68">
        <v>0.0</v>
      </c>
      <c r="T49" s="68" t="s">
        <v>74</v>
      </c>
      <c r="U49" s="68">
        <v>266.0</v>
      </c>
      <c r="V49" s="68">
        <v>146.3</v>
      </c>
      <c r="W49" s="129">
        <v>2.0</v>
      </c>
      <c r="X49" s="72">
        <f t="shared" ref="X49:X51" si="27">(U49-V49)/U49</f>
        <v>0.45</v>
      </c>
      <c r="Y49" s="68" t="s">
        <v>74</v>
      </c>
      <c r="Z49" s="68" t="s">
        <v>75</v>
      </c>
      <c r="AA49" s="68" t="s">
        <v>75</v>
      </c>
      <c r="AB49" s="68" t="s">
        <v>75</v>
      </c>
      <c r="AC49" s="68" t="s">
        <v>75</v>
      </c>
      <c r="AD49" s="68">
        <v>19.0</v>
      </c>
      <c r="AE49" s="68">
        <v>0.0</v>
      </c>
      <c r="AF49" s="68" t="s">
        <v>196</v>
      </c>
      <c r="AG49" s="68" t="s">
        <v>74</v>
      </c>
      <c r="AH49" s="72">
        <v>0.24</v>
      </c>
      <c r="AI49" s="68" t="s">
        <v>74</v>
      </c>
      <c r="AJ49" s="68" t="s">
        <v>74</v>
      </c>
      <c r="AK49" s="68" t="s">
        <v>74</v>
      </c>
      <c r="AL49" s="68">
        <v>6.0</v>
      </c>
      <c r="AM49" s="68">
        <v>1.0</v>
      </c>
      <c r="AN49" s="68">
        <v>1.0</v>
      </c>
      <c r="AO49" s="68">
        <v>1.0</v>
      </c>
      <c r="AP49" s="64" t="s">
        <v>69</v>
      </c>
      <c r="AQ49" s="68">
        <v>3.0</v>
      </c>
      <c r="AR49" s="68"/>
      <c r="AS49" s="68">
        <v>2.0</v>
      </c>
      <c r="AT49" s="68">
        <v>1.0</v>
      </c>
      <c r="AU49" s="68">
        <v>1.0</v>
      </c>
      <c r="AV49" s="68">
        <v>0.0</v>
      </c>
      <c r="AW49" s="68">
        <v>1.0</v>
      </c>
      <c r="AX49" s="68">
        <v>0.0</v>
      </c>
      <c r="AY49" s="68">
        <v>1.0</v>
      </c>
      <c r="AZ49" s="68" t="str">
        <f t="shared" ref="AZ49:AZ50" si="28">P49+Q49+R49+S49+AD49+AE49+AG49+AL49+AM49+AN49+AO49+AQ49+AS49+AT49+AU49+AV49+AW49+AX49+AY49</f>
        <v>#VALUE!</v>
      </c>
      <c r="BA49" s="72" t="str">
        <f t="shared" ref="BA49:BA50" si="29">AZ49/67</f>
        <v>#VALUE!</v>
      </c>
      <c r="BB49" s="68" t="s">
        <v>77</v>
      </c>
      <c r="BC49" s="140"/>
      <c r="BD49" s="140"/>
      <c r="BE49" s="74" t="str">
        <f t="shared" si="23"/>
        <v>YES</v>
      </c>
      <c r="BF49" s="62" t="str">
        <f t="shared" si="24"/>
        <v>Texas Health Midlothian IHC  - This is the last report</v>
      </c>
      <c r="BG49" s="75" t="str">
        <f t="shared" si="25"/>
        <v>Anson/ Zach Spero</v>
      </c>
      <c r="BH49" s="75" t="str">
        <f t="shared" si="26"/>
        <v>#VALUE!</v>
      </c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</row>
    <row r="50" ht="15.75" customHeight="1">
      <c r="A50" s="79">
        <v>9.0</v>
      </c>
      <c r="B50" s="76">
        <v>147840.0</v>
      </c>
      <c r="C50" s="76" t="s">
        <v>202</v>
      </c>
      <c r="D50" s="128" t="s">
        <v>177</v>
      </c>
      <c r="E50" s="67" t="s">
        <v>69</v>
      </c>
      <c r="F50" s="69"/>
      <c r="G50" s="68" t="s">
        <v>96</v>
      </c>
      <c r="H50" s="69"/>
      <c r="I50" s="65" t="s">
        <v>201</v>
      </c>
      <c r="J50" s="68"/>
      <c r="K50" s="136"/>
      <c r="L50" s="136"/>
      <c r="M50" s="136"/>
      <c r="N50" s="72"/>
      <c r="O50" s="72">
        <v>0.44</v>
      </c>
      <c r="P50" s="68">
        <v>4.0</v>
      </c>
      <c r="Q50" s="68">
        <v>0.0</v>
      </c>
      <c r="R50" s="68">
        <v>1.0</v>
      </c>
      <c r="S50" s="68">
        <v>4.0</v>
      </c>
      <c r="T50" s="68" t="s">
        <v>74</v>
      </c>
      <c r="U50" s="129">
        <v>296.0</v>
      </c>
      <c r="V50" s="129">
        <v>204.24</v>
      </c>
      <c r="W50" s="129">
        <v>1.0</v>
      </c>
      <c r="X50" s="72">
        <f t="shared" si="27"/>
        <v>0.31</v>
      </c>
      <c r="Y50" s="68" t="s">
        <v>74</v>
      </c>
      <c r="Z50" s="130" t="s">
        <v>160</v>
      </c>
      <c r="AA50" s="130" t="s">
        <v>160</v>
      </c>
      <c r="AB50" s="130" t="s">
        <v>160</v>
      </c>
      <c r="AC50" s="130" t="s">
        <v>160</v>
      </c>
      <c r="AD50" s="68">
        <v>16.0</v>
      </c>
      <c r="AE50" s="68">
        <v>0.0</v>
      </c>
      <c r="AF50" s="68" t="s">
        <v>196</v>
      </c>
      <c r="AG50" s="68" t="s">
        <v>74</v>
      </c>
      <c r="AH50" s="131">
        <v>0.22</v>
      </c>
      <c r="AI50" s="68" t="s">
        <v>74</v>
      </c>
      <c r="AJ50" s="131">
        <v>0.56</v>
      </c>
      <c r="AK50" s="67" t="s">
        <v>69</v>
      </c>
      <c r="AL50" s="68">
        <v>10.0</v>
      </c>
      <c r="AM50" s="68">
        <v>1.0</v>
      </c>
      <c r="AN50" s="68">
        <v>0.0</v>
      </c>
      <c r="AO50" s="68">
        <v>0.0</v>
      </c>
      <c r="AP50" s="68" t="s">
        <v>74</v>
      </c>
      <c r="AQ50" s="68">
        <v>1.0</v>
      </c>
      <c r="AR50" s="68"/>
      <c r="AS50" s="68">
        <v>0.0</v>
      </c>
      <c r="AT50" s="68">
        <v>1.0</v>
      </c>
      <c r="AU50" s="68">
        <v>1.0</v>
      </c>
      <c r="AV50" s="68">
        <v>0.0</v>
      </c>
      <c r="AW50" s="68">
        <v>0.0</v>
      </c>
      <c r="AX50" s="68">
        <v>1.0</v>
      </c>
      <c r="AY50" s="68">
        <v>1.0</v>
      </c>
      <c r="AZ50" s="68" t="str">
        <f t="shared" si="28"/>
        <v>#VALUE!</v>
      </c>
      <c r="BA50" s="72" t="str">
        <f t="shared" si="29"/>
        <v>#VALUE!</v>
      </c>
      <c r="BB50" s="68" t="s">
        <v>77</v>
      </c>
      <c r="BC50" s="140"/>
      <c r="BD50" s="140"/>
      <c r="BE50" s="74" t="str">
        <f t="shared" si="23"/>
        <v>No</v>
      </c>
      <c r="BF50" s="62" t="str">
        <f t="shared" si="24"/>
        <v>Little Rock Rehab Hospital  - This is the last report</v>
      </c>
      <c r="BG50" s="75" t="str">
        <f t="shared" si="25"/>
        <v>Anson/ Zach Spero</v>
      </c>
      <c r="BH50" s="75" t="str">
        <f t="shared" si="26"/>
        <v>#VALUE!</v>
      </c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</row>
    <row r="51" ht="15.75" customHeight="1">
      <c r="A51" s="79">
        <v>10.0</v>
      </c>
      <c r="B51" s="76">
        <v>147759.0</v>
      </c>
      <c r="C51" s="76" t="s">
        <v>203</v>
      </c>
      <c r="D51" s="128" t="s">
        <v>177</v>
      </c>
      <c r="E51" s="67" t="s">
        <v>69</v>
      </c>
      <c r="F51" s="69"/>
      <c r="G51" s="68" t="s">
        <v>79</v>
      </c>
      <c r="H51" s="69"/>
      <c r="I51" s="65" t="s">
        <v>204</v>
      </c>
      <c r="J51" s="68"/>
      <c r="K51" s="136"/>
      <c r="L51" s="136"/>
      <c r="M51" s="136"/>
      <c r="N51" s="72"/>
      <c r="O51" s="72">
        <v>0.47</v>
      </c>
      <c r="P51" s="68">
        <v>4.0</v>
      </c>
      <c r="Q51" s="68">
        <v>0.0</v>
      </c>
      <c r="R51" s="68">
        <v>2.0</v>
      </c>
      <c r="S51" s="68">
        <v>0.0</v>
      </c>
      <c r="T51" s="68" t="s">
        <v>74</v>
      </c>
      <c r="U51" s="129">
        <v>398.8</v>
      </c>
      <c r="V51" s="129">
        <v>199.4</v>
      </c>
      <c r="W51" s="129">
        <v>1.0</v>
      </c>
      <c r="X51" s="72">
        <f t="shared" si="27"/>
        <v>0.5</v>
      </c>
      <c r="Y51" s="68" t="s">
        <v>74</v>
      </c>
      <c r="Z51" s="130" t="s">
        <v>160</v>
      </c>
      <c r="AA51" s="130" t="s">
        <v>160</v>
      </c>
      <c r="AB51" s="130" t="s">
        <v>160</v>
      </c>
      <c r="AC51" s="130" t="s">
        <v>160</v>
      </c>
      <c r="AD51" s="68">
        <v>16.0</v>
      </c>
      <c r="AE51" s="68">
        <v>0.0</v>
      </c>
      <c r="AF51" s="68" t="s">
        <v>196</v>
      </c>
      <c r="AG51" s="68" t="s">
        <v>74</v>
      </c>
      <c r="AH51" s="131">
        <v>0.23</v>
      </c>
      <c r="AI51" s="68" t="s">
        <v>74</v>
      </c>
      <c r="AJ51" s="68" t="s">
        <v>74</v>
      </c>
      <c r="AK51" s="68" t="s">
        <v>74</v>
      </c>
      <c r="AL51" s="68">
        <v>6.0</v>
      </c>
      <c r="AM51" s="68">
        <v>0.0</v>
      </c>
      <c r="AN51" s="68">
        <v>0.0</v>
      </c>
      <c r="AO51" s="68">
        <v>0.0</v>
      </c>
      <c r="AP51" s="68" t="s">
        <v>69</v>
      </c>
      <c r="AQ51" s="68">
        <v>3.0</v>
      </c>
      <c r="AR51" s="68"/>
      <c r="AS51" s="68">
        <v>0.0</v>
      </c>
      <c r="AT51" s="68">
        <v>0.0</v>
      </c>
      <c r="AU51" s="68">
        <v>0.0</v>
      </c>
      <c r="AV51" s="68">
        <v>0.0</v>
      </c>
      <c r="AW51" s="68">
        <v>0.0</v>
      </c>
      <c r="AX51" s="68">
        <v>0.0</v>
      </c>
      <c r="AY51" s="68">
        <v>1.0</v>
      </c>
      <c r="AZ51" s="68">
        <v>2.0</v>
      </c>
      <c r="BA51" s="72">
        <v>0.029850746268656716</v>
      </c>
      <c r="BB51" s="68" t="s">
        <v>77</v>
      </c>
      <c r="BC51" s="140"/>
      <c r="BD51" s="140"/>
      <c r="BE51" s="74" t="str">
        <f t="shared" si="23"/>
        <v>No</v>
      </c>
      <c r="BF51" s="62" t="s">
        <v>205</v>
      </c>
      <c r="BG51" s="75" t="s">
        <v>204</v>
      </c>
      <c r="BH51" s="75" t="s">
        <v>206</v>
      </c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</row>
    <row r="52" ht="15.75" customHeight="1">
      <c r="A52" s="79">
        <v>11.0</v>
      </c>
      <c r="B52" s="76">
        <v>147794.0</v>
      </c>
      <c r="C52" s="76" t="s">
        <v>207</v>
      </c>
      <c r="D52" s="128" t="s">
        <v>177</v>
      </c>
      <c r="E52" s="67" t="s">
        <v>69</v>
      </c>
      <c r="F52" s="69"/>
      <c r="G52" s="73" t="s">
        <v>191</v>
      </c>
      <c r="H52" s="73" t="s">
        <v>191</v>
      </c>
      <c r="I52" s="65" t="s">
        <v>208</v>
      </c>
      <c r="J52" s="68"/>
      <c r="K52" s="136"/>
      <c r="L52" s="136"/>
      <c r="M52" s="136"/>
      <c r="N52" s="72"/>
      <c r="O52" s="72">
        <v>0.0</v>
      </c>
      <c r="P52" s="68"/>
      <c r="Q52" s="68"/>
      <c r="R52" s="68"/>
      <c r="S52" s="68"/>
      <c r="T52" s="68"/>
      <c r="U52" s="68"/>
      <c r="V52" s="68"/>
      <c r="W52" s="129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4"/>
      <c r="BA52" s="64"/>
      <c r="BB52" s="64"/>
      <c r="BC52" s="140"/>
      <c r="BD52" s="140"/>
      <c r="BE52" s="74" t="s">
        <v>110</v>
      </c>
      <c r="BF52" s="62" t="s">
        <v>209</v>
      </c>
      <c r="BG52" s="75" t="s">
        <v>208</v>
      </c>
      <c r="BH52" s="75" t="s">
        <v>206</v>
      </c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</row>
    <row r="53" ht="15.75" customHeight="1">
      <c r="A53" s="79">
        <v>13.0</v>
      </c>
      <c r="B53" s="76">
        <v>147826.0</v>
      </c>
      <c r="C53" s="76" t="s">
        <v>210</v>
      </c>
      <c r="D53" s="128" t="s">
        <v>177</v>
      </c>
      <c r="E53" s="67" t="s">
        <v>69</v>
      </c>
      <c r="F53" s="69"/>
      <c r="G53" s="73" t="s">
        <v>191</v>
      </c>
      <c r="H53" s="69"/>
      <c r="I53" s="65" t="s">
        <v>211</v>
      </c>
      <c r="J53" s="65" t="s">
        <v>211</v>
      </c>
      <c r="K53" s="65" t="s">
        <v>211</v>
      </c>
      <c r="L53" s="65" t="s">
        <v>211</v>
      </c>
      <c r="M53" s="65" t="s">
        <v>211</v>
      </c>
      <c r="N53" s="65" t="s">
        <v>211</v>
      </c>
      <c r="O53" s="82">
        <v>0.0</v>
      </c>
      <c r="P53" s="68"/>
      <c r="Q53" s="68"/>
      <c r="R53" s="68"/>
      <c r="S53" s="68"/>
      <c r="T53" s="68"/>
      <c r="U53" s="68"/>
      <c r="V53" s="68"/>
      <c r="W53" s="129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4"/>
      <c r="BA53" s="64"/>
      <c r="BB53" s="64"/>
      <c r="BC53" s="140"/>
      <c r="BD53" s="140"/>
      <c r="BE53" s="74" t="s">
        <v>110</v>
      </c>
      <c r="BF53" s="62" t="s">
        <v>212</v>
      </c>
      <c r="BG53" s="75" t="s">
        <v>211</v>
      </c>
      <c r="BH53" s="75" t="s">
        <v>206</v>
      </c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</row>
    <row r="54" ht="15.0" customHeight="1">
      <c r="A54" s="79">
        <v>14.0</v>
      </c>
      <c r="B54" s="66">
        <v>147871.0</v>
      </c>
      <c r="C54" s="77" t="s">
        <v>213</v>
      </c>
      <c r="D54" s="128" t="s">
        <v>177</v>
      </c>
      <c r="E54" s="67" t="s">
        <v>69</v>
      </c>
      <c r="F54" s="62"/>
      <c r="G54" s="64" t="s">
        <v>70</v>
      </c>
      <c r="H54" s="62"/>
      <c r="I54" s="65" t="s">
        <v>208</v>
      </c>
      <c r="J54" s="62"/>
      <c r="K54" s="62"/>
      <c r="L54" s="62"/>
      <c r="M54" s="62"/>
      <c r="N54" s="62"/>
      <c r="O54" s="82">
        <v>0.06</v>
      </c>
      <c r="P54" s="68">
        <v>3.0</v>
      </c>
      <c r="Q54" s="68"/>
      <c r="R54" s="68"/>
      <c r="S54" s="68"/>
      <c r="T54" s="68"/>
      <c r="U54" s="68"/>
      <c r="V54" s="68"/>
      <c r="W54" s="129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2"/>
      <c r="BA54" s="62"/>
      <c r="BB54" s="62"/>
      <c r="BC54" s="78"/>
      <c r="BD54" s="78"/>
      <c r="BE54" s="74" t="s">
        <v>110</v>
      </c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</row>
    <row r="55" ht="15.0" customHeight="1">
      <c r="A55" s="79">
        <v>15.0</v>
      </c>
      <c r="B55" s="66">
        <v>147876.0</v>
      </c>
      <c r="C55" s="77" t="s">
        <v>214</v>
      </c>
      <c r="D55" s="128" t="s">
        <v>177</v>
      </c>
      <c r="E55" s="67" t="s">
        <v>69</v>
      </c>
      <c r="F55" s="62"/>
      <c r="G55" s="64" t="s">
        <v>96</v>
      </c>
      <c r="H55" s="62"/>
      <c r="I55" s="65" t="s">
        <v>208</v>
      </c>
      <c r="J55" s="62"/>
      <c r="K55" s="62"/>
      <c r="L55" s="62"/>
      <c r="M55" s="62"/>
      <c r="N55" s="62"/>
      <c r="O55" s="82">
        <v>0.08</v>
      </c>
      <c r="P55" s="68">
        <v>2.0</v>
      </c>
      <c r="Q55" s="68">
        <v>2.0</v>
      </c>
      <c r="R55" s="68"/>
      <c r="S55" s="68"/>
      <c r="T55" s="68"/>
      <c r="U55" s="68"/>
      <c r="V55" s="68"/>
      <c r="W55" s="129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2"/>
      <c r="BA55" s="62"/>
      <c r="BB55" s="62"/>
      <c r="BC55" s="78"/>
      <c r="BD55" s="78"/>
      <c r="BE55" s="74" t="s">
        <v>110</v>
      </c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</row>
    <row r="56" ht="15.0" customHeight="1">
      <c r="A56" s="79">
        <v>16.0</v>
      </c>
      <c r="B56" s="66">
        <v>147875.0</v>
      </c>
      <c r="C56" s="77" t="s">
        <v>215</v>
      </c>
      <c r="D56" s="128" t="s">
        <v>177</v>
      </c>
      <c r="E56" s="67" t="s">
        <v>69</v>
      </c>
      <c r="F56" s="62"/>
      <c r="G56" s="73" t="s">
        <v>191</v>
      </c>
      <c r="H56" s="62"/>
      <c r="I56" s="65" t="s">
        <v>208</v>
      </c>
      <c r="J56" s="62"/>
      <c r="K56" s="62"/>
      <c r="L56" s="62"/>
      <c r="M56" s="62"/>
      <c r="N56" s="62"/>
      <c r="O56" s="82">
        <v>0.0</v>
      </c>
      <c r="P56" s="68"/>
      <c r="Q56" s="68"/>
      <c r="R56" s="68"/>
      <c r="S56" s="68"/>
      <c r="T56" s="68"/>
      <c r="U56" s="68"/>
      <c r="V56" s="68"/>
      <c r="W56" s="129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2"/>
      <c r="BA56" s="62"/>
      <c r="BB56" s="62"/>
      <c r="BC56" s="78"/>
      <c r="BD56" s="78"/>
      <c r="BE56" s="74" t="s">
        <v>110</v>
      </c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</row>
    <row r="57" ht="15.75" customHeight="1">
      <c r="A57" s="79">
        <v>17.0</v>
      </c>
      <c r="B57" s="76">
        <v>147826.0</v>
      </c>
      <c r="C57" s="76" t="s">
        <v>212</v>
      </c>
      <c r="D57" s="128" t="s">
        <v>177</v>
      </c>
      <c r="E57" s="67" t="s">
        <v>69</v>
      </c>
      <c r="F57" s="69"/>
      <c r="G57" s="73" t="s">
        <v>191</v>
      </c>
      <c r="H57" s="62"/>
      <c r="I57" s="65" t="s">
        <v>208</v>
      </c>
      <c r="J57" s="68"/>
      <c r="K57" s="136"/>
      <c r="L57" s="136"/>
      <c r="M57" s="136"/>
      <c r="N57" s="72"/>
      <c r="O57" s="82">
        <v>0.0</v>
      </c>
      <c r="P57" s="68"/>
      <c r="Q57" s="68"/>
      <c r="R57" s="68"/>
      <c r="S57" s="68"/>
      <c r="T57" s="68"/>
      <c r="U57" s="68"/>
      <c r="V57" s="68"/>
      <c r="W57" s="129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4"/>
      <c r="BA57" s="64"/>
      <c r="BB57" s="64"/>
      <c r="BC57" s="140"/>
      <c r="BD57" s="140"/>
      <c r="BE57" s="74"/>
      <c r="BF57" s="62"/>
      <c r="BG57" s="75"/>
      <c r="BH57" s="75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</row>
    <row r="58" ht="15.0" customHeight="1">
      <c r="A58" s="79">
        <v>18.0</v>
      </c>
      <c r="B58" s="66">
        <v>147804.002</v>
      </c>
      <c r="C58" s="128" t="s">
        <v>216</v>
      </c>
      <c r="D58" s="128" t="s">
        <v>177</v>
      </c>
      <c r="E58" s="67" t="s">
        <v>69</v>
      </c>
      <c r="F58" s="62"/>
      <c r="G58" s="64" t="s">
        <v>113</v>
      </c>
      <c r="H58" s="62"/>
      <c r="I58" s="65" t="s">
        <v>211</v>
      </c>
      <c r="J58" s="62"/>
      <c r="K58" s="62"/>
      <c r="L58" s="62"/>
      <c r="M58" s="62"/>
      <c r="N58" s="62"/>
      <c r="O58" s="72">
        <v>0.78</v>
      </c>
      <c r="P58" s="68">
        <v>4.0</v>
      </c>
      <c r="Q58" s="68">
        <v>3.0</v>
      </c>
      <c r="R58" s="68">
        <v>6.0</v>
      </c>
      <c r="S58" s="68">
        <v>6.0</v>
      </c>
      <c r="T58" s="68" t="s">
        <v>75</v>
      </c>
      <c r="U58" s="68" t="s">
        <v>75</v>
      </c>
      <c r="V58" s="68" t="s">
        <v>75</v>
      </c>
      <c r="W58" s="68" t="s">
        <v>75</v>
      </c>
      <c r="X58" s="68" t="s">
        <v>75</v>
      </c>
      <c r="Y58" s="68" t="s">
        <v>75</v>
      </c>
      <c r="Z58" s="68" t="s">
        <v>82</v>
      </c>
      <c r="AA58" s="68" t="s">
        <v>82</v>
      </c>
      <c r="AB58" s="68" t="s">
        <v>82</v>
      </c>
      <c r="AC58" s="68" t="s">
        <v>82</v>
      </c>
      <c r="AD58" s="64">
        <v>5.0</v>
      </c>
      <c r="AE58" s="68">
        <v>0.0</v>
      </c>
      <c r="AF58" s="68" t="s">
        <v>196</v>
      </c>
      <c r="AG58" s="68" t="s">
        <v>74</v>
      </c>
      <c r="AH58" s="68" t="s">
        <v>82</v>
      </c>
      <c r="AI58" s="68" t="s">
        <v>82</v>
      </c>
      <c r="AJ58" s="68" t="s">
        <v>82</v>
      </c>
      <c r="AK58" s="68" t="s">
        <v>82</v>
      </c>
      <c r="AL58" s="68" t="s">
        <v>82</v>
      </c>
      <c r="AM58" s="68">
        <v>0.0</v>
      </c>
      <c r="AN58" s="68">
        <v>0.0</v>
      </c>
      <c r="AO58" s="68">
        <v>1.0</v>
      </c>
      <c r="AP58" s="68" t="s">
        <v>217</v>
      </c>
      <c r="AQ58" s="68">
        <v>1.0</v>
      </c>
      <c r="AR58" s="68">
        <v>1.0</v>
      </c>
      <c r="AS58" s="68">
        <v>1.0</v>
      </c>
      <c r="AT58" s="68">
        <v>1.0</v>
      </c>
      <c r="AU58" s="68">
        <v>1.0</v>
      </c>
      <c r="AV58" s="68">
        <v>1.0</v>
      </c>
      <c r="AW58" s="68">
        <v>1.0</v>
      </c>
      <c r="AX58" s="68">
        <v>1.0</v>
      </c>
      <c r="AY58" s="68">
        <v>1.0</v>
      </c>
      <c r="AZ58" s="62"/>
      <c r="BA58" s="62"/>
      <c r="BB58" s="62"/>
      <c r="BC58" s="78"/>
      <c r="BD58" s="78"/>
      <c r="BE58" s="74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</row>
    <row r="59" ht="15.0" customHeight="1">
      <c r="A59" s="79">
        <v>19.0</v>
      </c>
      <c r="B59" s="66">
        <v>147804.003</v>
      </c>
      <c r="C59" s="128" t="s">
        <v>218</v>
      </c>
      <c r="D59" s="128" t="s">
        <v>177</v>
      </c>
      <c r="E59" s="67" t="s">
        <v>69</v>
      </c>
      <c r="F59" s="62"/>
      <c r="G59" s="64" t="s">
        <v>113</v>
      </c>
      <c r="H59" s="62"/>
      <c r="I59" s="65" t="s">
        <v>211</v>
      </c>
      <c r="J59" s="62"/>
      <c r="K59" s="62"/>
      <c r="L59" s="62"/>
      <c r="M59" s="62"/>
      <c r="N59" s="62"/>
      <c r="O59" s="82">
        <v>0.0</v>
      </c>
      <c r="P59" s="68"/>
      <c r="Q59" s="68"/>
      <c r="R59" s="68"/>
      <c r="S59" s="68"/>
      <c r="T59" s="68"/>
      <c r="U59" s="68"/>
      <c r="V59" s="68"/>
      <c r="W59" s="129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2"/>
      <c r="BA59" s="62"/>
      <c r="BB59" s="62"/>
      <c r="BC59" s="78"/>
      <c r="BD59" s="78"/>
      <c r="BE59" s="74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</row>
    <row r="60" ht="15.75" customHeight="1">
      <c r="A60" s="79">
        <v>20.0</v>
      </c>
      <c r="B60" s="76">
        <v>147929.0</v>
      </c>
      <c r="C60" s="141" t="s">
        <v>219</v>
      </c>
      <c r="D60" s="128" t="s">
        <v>177</v>
      </c>
      <c r="E60" s="67" t="s">
        <v>69</v>
      </c>
      <c r="F60" s="69"/>
      <c r="G60" s="64" t="s">
        <v>113</v>
      </c>
      <c r="H60" s="69"/>
      <c r="I60" s="69" t="s">
        <v>220</v>
      </c>
      <c r="J60" s="68"/>
      <c r="K60" s="136"/>
      <c r="L60" s="136"/>
      <c r="M60" s="136"/>
      <c r="N60" s="72"/>
      <c r="O60" s="72">
        <v>0.77</v>
      </c>
      <c r="P60" s="68">
        <v>3.0</v>
      </c>
      <c r="Q60" s="68">
        <v>3.0</v>
      </c>
      <c r="R60" s="68">
        <v>3.0</v>
      </c>
      <c r="S60" s="68">
        <v>6.0</v>
      </c>
      <c r="T60" s="68" t="s">
        <v>75</v>
      </c>
      <c r="U60" s="68" t="s">
        <v>75</v>
      </c>
      <c r="V60" s="68" t="s">
        <v>75</v>
      </c>
      <c r="W60" s="68" t="s">
        <v>75</v>
      </c>
      <c r="X60" s="68" t="s">
        <v>75</v>
      </c>
      <c r="Y60" s="68" t="s">
        <v>75</v>
      </c>
      <c r="Z60" s="68" t="s">
        <v>82</v>
      </c>
      <c r="AA60" s="68" t="s">
        <v>82</v>
      </c>
      <c r="AB60" s="68" t="s">
        <v>82</v>
      </c>
      <c r="AC60" s="68" t="s">
        <v>82</v>
      </c>
      <c r="AD60" s="68">
        <v>1.0</v>
      </c>
      <c r="AE60" s="68">
        <v>0.0</v>
      </c>
      <c r="AF60" s="68" t="s">
        <v>196</v>
      </c>
      <c r="AG60" s="68" t="s">
        <v>74</v>
      </c>
      <c r="AH60" s="68" t="s">
        <v>82</v>
      </c>
      <c r="AI60" s="68" t="s">
        <v>82</v>
      </c>
      <c r="AJ60" s="68" t="s">
        <v>82</v>
      </c>
      <c r="AK60" s="68" t="s">
        <v>82</v>
      </c>
      <c r="AL60" s="68" t="s">
        <v>82</v>
      </c>
      <c r="AM60" s="68">
        <v>0.0</v>
      </c>
      <c r="AN60" s="68">
        <v>1.0</v>
      </c>
      <c r="AO60" s="68">
        <v>1.0</v>
      </c>
      <c r="AP60" s="68" t="s">
        <v>217</v>
      </c>
      <c r="AQ60" s="68">
        <v>3.0</v>
      </c>
      <c r="AR60" s="68">
        <v>1.0</v>
      </c>
      <c r="AS60" s="68">
        <v>1.0</v>
      </c>
      <c r="AT60" s="68">
        <v>1.0</v>
      </c>
      <c r="AU60" s="68">
        <v>1.0</v>
      </c>
      <c r="AV60" s="68">
        <v>1.0</v>
      </c>
      <c r="AW60" s="68">
        <v>1.0</v>
      </c>
      <c r="AX60" s="68">
        <v>1.0</v>
      </c>
      <c r="AY60" s="68">
        <v>1.0</v>
      </c>
      <c r="AZ60" s="64"/>
      <c r="BA60" s="64"/>
      <c r="BB60" s="64"/>
      <c r="BC60" s="140"/>
      <c r="BD60" s="140"/>
      <c r="BE60" s="74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</row>
    <row r="61" ht="15.75" customHeight="1">
      <c r="A61" s="79">
        <v>21.0</v>
      </c>
      <c r="B61" s="76">
        <v>147918.0</v>
      </c>
      <c r="C61" s="141" t="s">
        <v>221</v>
      </c>
      <c r="D61" s="128" t="s">
        <v>177</v>
      </c>
      <c r="E61" s="67" t="s">
        <v>69</v>
      </c>
      <c r="F61" s="69"/>
      <c r="G61" s="64" t="s">
        <v>113</v>
      </c>
      <c r="H61" s="69"/>
      <c r="I61" s="69" t="s">
        <v>220</v>
      </c>
      <c r="J61" s="68"/>
      <c r="K61" s="136"/>
      <c r="L61" s="136"/>
      <c r="M61" s="136"/>
      <c r="N61" s="72"/>
      <c r="O61" s="72">
        <v>0.77</v>
      </c>
      <c r="P61" s="68">
        <v>3.0</v>
      </c>
      <c r="Q61" s="68">
        <v>3.0</v>
      </c>
      <c r="R61" s="68">
        <v>3.0</v>
      </c>
      <c r="S61" s="68">
        <v>6.0</v>
      </c>
      <c r="T61" s="68" t="s">
        <v>75</v>
      </c>
      <c r="U61" s="68" t="s">
        <v>75</v>
      </c>
      <c r="V61" s="68" t="s">
        <v>75</v>
      </c>
      <c r="W61" s="68" t="s">
        <v>75</v>
      </c>
      <c r="X61" s="68" t="s">
        <v>75</v>
      </c>
      <c r="Y61" s="68" t="s">
        <v>75</v>
      </c>
      <c r="Z61" s="68" t="s">
        <v>82</v>
      </c>
      <c r="AA61" s="68" t="s">
        <v>82</v>
      </c>
      <c r="AB61" s="68" t="s">
        <v>82</v>
      </c>
      <c r="AC61" s="68" t="s">
        <v>82</v>
      </c>
      <c r="AD61" s="68">
        <v>1.0</v>
      </c>
      <c r="AE61" s="68">
        <v>0.0</v>
      </c>
      <c r="AF61" s="68" t="s">
        <v>196</v>
      </c>
      <c r="AG61" s="68" t="s">
        <v>74</v>
      </c>
      <c r="AH61" s="68" t="s">
        <v>82</v>
      </c>
      <c r="AI61" s="68" t="s">
        <v>82</v>
      </c>
      <c r="AJ61" s="68" t="s">
        <v>82</v>
      </c>
      <c r="AK61" s="68" t="s">
        <v>82</v>
      </c>
      <c r="AL61" s="68" t="s">
        <v>82</v>
      </c>
      <c r="AM61" s="68">
        <v>0.0</v>
      </c>
      <c r="AN61" s="68">
        <v>1.0</v>
      </c>
      <c r="AO61" s="68">
        <v>1.0</v>
      </c>
      <c r="AP61" s="68" t="s">
        <v>217</v>
      </c>
      <c r="AQ61" s="68">
        <v>3.0</v>
      </c>
      <c r="AR61" s="68">
        <v>1.0</v>
      </c>
      <c r="AS61" s="68">
        <v>1.0</v>
      </c>
      <c r="AT61" s="68">
        <v>1.0</v>
      </c>
      <c r="AU61" s="68">
        <v>1.0</v>
      </c>
      <c r="AV61" s="68">
        <v>1.0</v>
      </c>
      <c r="AW61" s="68">
        <v>1.0</v>
      </c>
      <c r="AX61" s="68">
        <v>1.0</v>
      </c>
      <c r="AY61" s="68">
        <v>1.0</v>
      </c>
      <c r="AZ61" s="64"/>
      <c r="BA61" s="64"/>
      <c r="BB61" s="64"/>
      <c r="BC61" s="140"/>
      <c r="BD61" s="140"/>
      <c r="BE61" s="74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</row>
    <row r="62" ht="15.75" customHeight="1">
      <c r="A62" s="79">
        <v>22.0</v>
      </c>
      <c r="B62" s="76">
        <v>147919.0</v>
      </c>
      <c r="C62" s="141" t="s">
        <v>222</v>
      </c>
      <c r="D62" s="128" t="s">
        <v>177</v>
      </c>
      <c r="E62" s="67" t="s">
        <v>69</v>
      </c>
      <c r="F62" s="69"/>
      <c r="G62" s="64" t="s">
        <v>79</v>
      </c>
      <c r="H62" s="69"/>
      <c r="I62" s="69" t="s">
        <v>220</v>
      </c>
      <c r="J62" s="68"/>
      <c r="K62" s="136"/>
      <c r="L62" s="136"/>
      <c r="M62" s="136"/>
      <c r="N62" s="72"/>
      <c r="O62" s="72">
        <v>0.43</v>
      </c>
      <c r="P62" s="68">
        <v>3.0</v>
      </c>
      <c r="Q62" s="68">
        <v>3.0</v>
      </c>
      <c r="R62" s="68">
        <v>3.0</v>
      </c>
      <c r="S62" s="68">
        <v>6.0</v>
      </c>
      <c r="T62" s="68" t="s">
        <v>75</v>
      </c>
      <c r="U62" s="68" t="s">
        <v>75</v>
      </c>
      <c r="V62" s="68" t="s">
        <v>75</v>
      </c>
      <c r="W62" s="68" t="s">
        <v>75</v>
      </c>
      <c r="X62" s="68" t="s">
        <v>75</v>
      </c>
      <c r="Y62" s="68" t="s">
        <v>75</v>
      </c>
      <c r="Z62" s="68" t="s">
        <v>82</v>
      </c>
      <c r="AA62" s="68" t="s">
        <v>82</v>
      </c>
      <c r="AB62" s="68" t="s">
        <v>82</v>
      </c>
      <c r="AC62" s="68" t="s">
        <v>82</v>
      </c>
      <c r="AD62" s="68">
        <v>1.0</v>
      </c>
      <c r="AE62" s="68">
        <v>0.0</v>
      </c>
      <c r="AF62" s="68" t="s">
        <v>196</v>
      </c>
      <c r="AG62" s="68" t="s">
        <v>74</v>
      </c>
      <c r="AH62" s="68" t="s">
        <v>82</v>
      </c>
      <c r="AI62" s="68" t="s">
        <v>82</v>
      </c>
      <c r="AJ62" s="68" t="s">
        <v>82</v>
      </c>
      <c r="AK62" s="68" t="s">
        <v>82</v>
      </c>
      <c r="AL62" s="68" t="s">
        <v>82</v>
      </c>
      <c r="AM62" s="68">
        <v>0.0</v>
      </c>
      <c r="AN62" s="68">
        <v>1.0</v>
      </c>
      <c r="AO62" s="68">
        <v>1.0</v>
      </c>
      <c r="AP62" s="68" t="s">
        <v>217</v>
      </c>
      <c r="AQ62" s="68">
        <v>3.0</v>
      </c>
      <c r="AR62" s="68">
        <v>1.0</v>
      </c>
      <c r="AS62" s="68">
        <v>1.0</v>
      </c>
      <c r="AT62" s="68">
        <v>1.0</v>
      </c>
      <c r="AU62" s="68">
        <v>1.0</v>
      </c>
      <c r="AV62" s="68">
        <v>1.0</v>
      </c>
      <c r="AW62" s="68">
        <v>1.0</v>
      </c>
      <c r="AX62" s="68">
        <v>1.0</v>
      </c>
      <c r="AY62" s="68">
        <v>1.0</v>
      </c>
      <c r="AZ62" s="64"/>
      <c r="BA62" s="64"/>
      <c r="BB62" s="64"/>
      <c r="BC62" s="140"/>
      <c r="BD62" s="140"/>
      <c r="BE62" s="74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</row>
    <row r="63" ht="15.75" customHeight="1">
      <c r="A63" s="79">
        <v>23.0</v>
      </c>
      <c r="B63" s="76">
        <v>147920.0</v>
      </c>
      <c r="C63" s="141" t="s">
        <v>223</v>
      </c>
      <c r="D63" s="128" t="s">
        <v>177</v>
      </c>
      <c r="E63" s="67" t="s">
        <v>69</v>
      </c>
      <c r="F63" s="69"/>
      <c r="G63" s="64" t="s">
        <v>79</v>
      </c>
      <c r="H63" s="69"/>
      <c r="I63" s="69" t="s">
        <v>220</v>
      </c>
      <c r="J63" s="68"/>
      <c r="K63" s="136"/>
      <c r="L63" s="136"/>
      <c r="M63" s="136"/>
      <c r="N63" s="72"/>
      <c r="O63" s="72">
        <v>0.63</v>
      </c>
      <c r="P63" s="68">
        <v>3.0</v>
      </c>
      <c r="Q63" s="68">
        <v>3.0</v>
      </c>
      <c r="R63" s="68">
        <v>3.0</v>
      </c>
      <c r="S63" s="68">
        <v>6.0</v>
      </c>
      <c r="T63" s="68" t="s">
        <v>75</v>
      </c>
      <c r="U63" s="68" t="s">
        <v>75</v>
      </c>
      <c r="V63" s="68" t="s">
        <v>75</v>
      </c>
      <c r="W63" s="68" t="s">
        <v>75</v>
      </c>
      <c r="X63" s="68" t="s">
        <v>75</v>
      </c>
      <c r="Y63" s="68" t="s">
        <v>75</v>
      </c>
      <c r="Z63" s="68" t="s">
        <v>82</v>
      </c>
      <c r="AA63" s="68" t="s">
        <v>82</v>
      </c>
      <c r="AB63" s="68" t="s">
        <v>82</v>
      </c>
      <c r="AC63" s="68" t="s">
        <v>82</v>
      </c>
      <c r="AD63" s="68">
        <v>1.0</v>
      </c>
      <c r="AE63" s="68">
        <v>0.0</v>
      </c>
      <c r="AF63" s="68" t="s">
        <v>196</v>
      </c>
      <c r="AG63" s="68" t="s">
        <v>74</v>
      </c>
      <c r="AH63" s="68" t="s">
        <v>82</v>
      </c>
      <c r="AI63" s="68" t="s">
        <v>82</v>
      </c>
      <c r="AJ63" s="68" t="s">
        <v>82</v>
      </c>
      <c r="AK63" s="68" t="s">
        <v>82</v>
      </c>
      <c r="AL63" s="68" t="s">
        <v>82</v>
      </c>
      <c r="AM63" s="68">
        <v>0.0</v>
      </c>
      <c r="AN63" s="68">
        <v>1.0</v>
      </c>
      <c r="AO63" s="68">
        <v>1.0</v>
      </c>
      <c r="AP63" s="68" t="s">
        <v>217</v>
      </c>
      <c r="AQ63" s="68">
        <v>3.0</v>
      </c>
      <c r="AR63" s="68">
        <v>1.0</v>
      </c>
      <c r="AS63" s="68">
        <v>1.0</v>
      </c>
      <c r="AT63" s="68">
        <v>1.0</v>
      </c>
      <c r="AU63" s="68">
        <v>1.0</v>
      </c>
      <c r="AV63" s="68">
        <v>1.0</v>
      </c>
      <c r="AW63" s="68">
        <v>1.0</v>
      </c>
      <c r="AX63" s="68">
        <v>1.0</v>
      </c>
      <c r="AY63" s="68">
        <v>1.0</v>
      </c>
      <c r="AZ63" s="64"/>
      <c r="BA63" s="64"/>
      <c r="BB63" s="64"/>
      <c r="BC63" s="140"/>
      <c r="BD63" s="140"/>
      <c r="BE63" s="74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</row>
    <row r="64" ht="15.75" customHeight="1">
      <c r="A64" s="79">
        <v>24.0</v>
      </c>
      <c r="B64" s="76">
        <v>147917.0</v>
      </c>
      <c r="C64" s="141" t="s">
        <v>224</v>
      </c>
      <c r="D64" s="128" t="s">
        <v>177</v>
      </c>
      <c r="E64" s="67" t="s">
        <v>69</v>
      </c>
      <c r="F64" s="69"/>
      <c r="G64" s="64" t="s">
        <v>79</v>
      </c>
      <c r="H64" s="69"/>
      <c r="I64" s="69" t="s">
        <v>220</v>
      </c>
      <c r="J64" s="68"/>
      <c r="K64" s="136"/>
      <c r="L64" s="136"/>
      <c r="M64" s="136"/>
      <c r="N64" s="72"/>
      <c r="O64" s="72">
        <v>0.77</v>
      </c>
      <c r="P64" s="68">
        <v>3.0</v>
      </c>
      <c r="Q64" s="68">
        <v>3.0</v>
      </c>
      <c r="R64" s="68">
        <v>3.0</v>
      </c>
      <c r="S64" s="68">
        <v>6.0</v>
      </c>
      <c r="T64" s="68" t="s">
        <v>75</v>
      </c>
      <c r="U64" s="68" t="s">
        <v>75</v>
      </c>
      <c r="V64" s="68" t="s">
        <v>75</v>
      </c>
      <c r="W64" s="68" t="s">
        <v>75</v>
      </c>
      <c r="X64" s="68" t="s">
        <v>75</v>
      </c>
      <c r="Y64" s="68" t="s">
        <v>75</v>
      </c>
      <c r="Z64" s="68" t="s">
        <v>82</v>
      </c>
      <c r="AA64" s="68" t="s">
        <v>82</v>
      </c>
      <c r="AB64" s="68" t="s">
        <v>82</v>
      </c>
      <c r="AC64" s="68" t="s">
        <v>82</v>
      </c>
      <c r="AD64" s="68">
        <v>1.0</v>
      </c>
      <c r="AE64" s="68">
        <v>0.0</v>
      </c>
      <c r="AF64" s="68" t="s">
        <v>196</v>
      </c>
      <c r="AG64" s="68" t="s">
        <v>74</v>
      </c>
      <c r="AH64" s="68" t="s">
        <v>82</v>
      </c>
      <c r="AI64" s="68" t="s">
        <v>82</v>
      </c>
      <c r="AJ64" s="68" t="s">
        <v>82</v>
      </c>
      <c r="AK64" s="68" t="s">
        <v>82</v>
      </c>
      <c r="AL64" s="68" t="s">
        <v>82</v>
      </c>
      <c r="AM64" s="68">
        <v>0.0</v>
      </c>
      <c r="AN64" s="68">
        <v>1.0</v>
      </c>
      <c r="AO64" s="68">
        <v>1.0</v>
      </c>
      <c r="AP64" s="68" t="s">
        <v>217</v>
      </c>
      <c r="AQ64" s="68">
        <v>3.0</v>
      </c>
      <c r="AR64" s="68">
        <v>1.0</v>
      </c>
      <c r="AS64" s="68">
        <v>1.0</v>
      </c>
      <c r="AT64" s="68">
        <v>1.0</v>
      </c>
      <c r="AU64" s="68">
        <v>1.0</v>
      </c>
      <c r="AV64" s="68">
        <v>1.0</v>
      </c>
      <c r="AW64" s="68">
        <v>1.0</v>
      </c>
      <c r="AX64" s="68">
        <v>1.0</v>
      </c>
      <c r="AY64" s="68">
        <v>1.0</v>
      </c>
      <c r="AZ64" s="64"/>
      <c r="BA64" s="64"/>
      <c r="BB64" s="64"/>
      <c r="BC64" s="140"/>
      <c r="BD64" s="140"/>
      <c r="BE64" s="74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</row>
    <row r="65" ht="15.75" customHeight="1">
      <c r="A65" s="79">
        <v>25.0</v>
      </c>
      <c r="B65" s="76">
        <v>147957.0</v>
      </c>
      <c r="C65" s="141" t="s">
        <v>225</v>
      </c>
      <c r="D65" s="128" t="s">
        <v>177</v>
      </c>
      <c r="E65" s="67" t="s">
        <v>69</v>
      </c>
      <c r="F65" s="69"/>
      <c r="G65" s="64" t="s">
        <v>79</v>
      </c>
      <c r="H65" s="69"/>
      <c r="I65" s="69" t="s">
        <v>220</v>
      </c>
      <c r="J65" s="68"/>
      <c r="K65" s="136"/>
      <c r="L65" s="136"/>
      <c r="M65" s="136"/>
      <c r="N65" s="72"/>
      <c r="O65" s="82">
        <v>0.0</v>
      </c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4"/>
      <c r="BA65" s="64"/>
      <c r="BB65" s="64"/>
      <c r="BC65" s="140"/>
      <c r="BD65" s="140"/>
      <c r="BE65" s="74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</row>
    <row r="66" ht="15.0" customHeight="1">
      <c r="A66" s="79">
        <v>26.0</v>
      </c>
      <c r="B66" s="66">
        <v>147933.0</v>
      </c>
      <c r="C66" s="128" t="s">
        <v>226</v>
      </c>
      <c r="D66" s="128" t="s">
        <v>177</v>
      </c>
      <c r="E66" s="67" t="s">
        <v>69</v>
      </c>
      <c r="F66" s="62"/>
      <c r="G66" s="64" t="s">
        <v>96</v>
      </c>
      <c r="H66" s="62"/>
      <c r="I66" s="65" t="s">
        <v>188</v>
      </c>
      <c r="J66" s="63"/>
      <c r="K66" s="63"/>
      <c r="L66" s="63"/>
      <c r="M66" s="63"/>
      <c r="N66" s="63"/>
      <c r="O66" s="142">
        <v>0.94</v>
      </c>
      <c r="P66" s="64">
        <v>3.0</v>
      </c>
      <c r="Q66" s="64">
        <v>3.0</v>
      </c>
      <c r="R66" s="64">
        <v>3.0</v>
      </c>
      <c r="S66" s="64">
        <v>6.0</v>
      </c>
      <c r="T66" s="68" t="s">
        <v>75</v>
      </c>
      <c r="U66" s="68" t="s">
        <v>75</v>
      </c>
      <c r="V66" s="68" t="s">
        <v>75</v>
      </c>
      <c r="W66" s="68" t="s">
        <v>75</v>
      </c>
      <c r="X66" s="68" t="s">
        <v>75</v>
      </c>
      <c r="Y66" s="68" t="s">
        <v>75</v>
      </c>
      <c r="Z66" s="68" t="s">
        <v>82</v>
      </c>
      <c r="AA66" s="68" t="s">
        <v>82</v>
      </c>
      <c r="AB66" s="68" t="s">
        <v>82</v>
      </c>
      <c r="AC66" s="68" t="s">
        <v>82</v>
      </c>
      <c r="AD66" s="64">
        <v>1.0</v>
      </c>
      <c r="AE66" s="64">
        <v>0.0</v>
      </c>
      <c r="AF66" s="64" t="s">
        <v>76</v>
      </c>
      <c r="AG66" s="64" t="s">
        <v>74</v>
      </c>
      <c r="AH66" s="68" t="s">
        <v>82</v>
      </c>
      <c r="AI66" s="68" t="s">
        <v>82</v>
      </c>
      <c r="AJ66" s="68" t="s">
        <v>82</v>
      </c>
      <c r="AK66" s="68" t="s">
        <v>82</v>
      </c>
      <c r="AL66" s="64">
        <v>2.0</v>
      </c>
      <c r="AM66" s="64">
        <v>1.0</v>
      </c>
      <c r="AN66" s="64">
        <v>1.0</v>
      </c>
      <c r="AO66" s="64">
        <v>1.0</v>
      </c>
      <c r="AP66" s="64" t="s">
        <v>69</v>
      </c>
      <c r="AQ66" s="64">
        <v>3.0</v>
      </c>
      <c r="AR66" s="64">
        <v>1.0</v>
      </c>
      <c r="AS66" s="64">
        <v>1.0</v>
      </c>
      <c r="AT66" s="64">
        <v>1.0</v>
      </c>
      <c r="AU66" s="64">
        <v>1.0</v>
      </c>
      <c r="AV66" s="64">
        <v>1.0</v>
      </c>
      <c r="AW66" s="64">
        <v>1.0</v>
      </c>
      <c r="AX66" s="64">
        <v>1.0</v>
      </c>
      <c r="AY66" s="64">
        <v>1.0</v>
      </c>
      <c r="AZ66" s="64"/>
      <c r="BA66" s="64"/>
      <c r="BB66" s="64"/>
      <c r="BC66" s="64"/>
      <c r="BD66" s="64"/>
      <c r="BE66" s="74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</row>
    <row r="67" ht="15.75" customHeight="1">
      <c r="A67" s="62"/>
      <c r="B67" s="79"/>
      <c r="C67" s="62"/>
      <c r="D67" s="62"/>
      <c r="E67" s="74"/>
      <c r="F67" s="62"/>
      <c r="G67" s="62"/>
      <c r="H67" s="62"/>
      <c r="I67" s="79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143"/>
      <c r="V67" s="143"/>
      <c r="W67" s="143"/>
      <c r="X67" s="62"/>
      <c r="Y67" s="62"/>
      <c r="Z67" s="143"/>
      <c r="AA67" s="143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78"/>
      <c r="BD67" s="78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</row>
    <row r="68" ht="15.0" customHeight="1">
      <c r="A68" s="79"/>
      <c r="B68" s="83">
        <v>147934.0</v>
      </c>
      <c r="C68" s="134" t="s">
        <v>227</v>
      </c>
      <c r="D68" s="134" t="s">
        <v>177</v>
      </c>
      <c r="E68" s="73" t="s">
        <v>98</v>
      </c>
      <c r="F68" s="62"/>
      <c r="G68" s="64" t="s">
        <v>79</v>
      </c>
      <c r="H68" s="62"/>
      <c r="I68" s="65" t="s">
        <v>188</v>
      </c>
      <c r="J68" s="63"/>
      <c r="K68" s="63"/>
      <c r="L68" s="63"/>
      <c r="M68" s="63"/>
      <c r="N68" s="63"/>
      <c r="O68" s="72">
        <v>0.0</v>
      </c>
      <c r="P68" s="63"/>
      <c r="Q68" s="63"/>
      <c r="R68" s="63"/>
      <c r="S68" s="63"/>
      <c r="T68" s="135"/>
      <c r="U68" s="135"/>
      <c r="V68" s="135"/>
      <c r="W68" s="135"/>
      <c r="X68" s="72"/>
      <c r="Y68" s="135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74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</row>
    <row r="69" ht="15.0" customHeight="1">
      <c r="A69" s="62"/>
      <c r="B69" s="83">
        <v>142827.0</v>
      </c>
      <c r="C69" s="134" t="s">
        <v>228</v>
      </c>
      <c r="D69" s="134" t="s">
        <v>177</v>
      </c>
      <c r="E69" s="73" t="s">
        <v>74</v>
      </c>
      <c r="F69" s="63"/>
      <c r="G69" s="64" t="s">
        <v>229</v>
      </c>
      <c r="H69" s="63"/>
      <c r="I69" s="65" t="s">
        <v>188</v>
      </c>
      <c r="J69" s="63"/>
      <c r="K69" s="63"/>
      <c r="L69" s="63"/>
      <c r="M69" s="63"/>
      <c r="N69" s="63"/>
      <c r="O69" s="62"/>
      <c r="P69" s="62"/>
      <c r="Q69" s="63"/>
      <c r="R69" s="63"/>
      <c r="S69" s="63"/>
      <c r="T69" s="135"/>
      <c r="U69" s="135"/>
      <c r="V69" s="135"/>
      <c r="W69" s="135"/>
      <c r="X69" s="72"/>
      <c r="Y69" s="135"/>
      <c r="Z69" s="63"/>
      <c r="AA69" s="63"/>
      <c r="AB69" s="63"/>
      <c r="AC69" s="63"/>
      <c r="AD69" s="63"/>
      <c r="AE69" s="63"/>
      <c r="AF69" s="63"/>
      <c r="AG69" s="63"/>
      <c r="AH69" s="63"/>
      <c r="AI69" s="62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74" t="str">
        <f>IF(O66&gt;60%,"YES","No")</f>
        <v>YES</v>
      </c>
      <c r="BF69" s="62" t="str">
        <f>C69</f>
        <v>THCDS Plano - AHU Replacement - small</v>
      </c>
      <c r="BG69" s="62" t="str">
        <f>I69</f>
        <v>Wes Bowen</v>
      </c>
      <c r="BH69" s="62" t="str">
        <f>IF(BA69&gt;65%,"No need to contact","need to contact")</f>
        <v>need to contact</v>
      </c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</row>
    <row r="70" ht="15.0" customHeight="1">
      <c r="A70" s="79"/>
      <c r="B70" s="83">
        <v>147955.0</v>
      </c>
      <c r="C70" s="134" t="s">
        <v>230</v>
      </c>
      <c r="D70" s="134" t="s">
        <v>177</v>
      </c>
      <c r="E70" s="73" t="s">
        <v>74</v>
      </c>
      <c r="F70" s="62"/>
      <c r="G70" s="64" t="s">
        <v>231</v>
      </c>
      <c r="H70" s="62"/>
      <c r="I70" s="65" t="s">
        <v>232</v>
      </c>
      <c r="J70" s="62"/>
      <c r="K70" s="62"/>
      <c r="L70" s="62"/>
      <c r="M70" s="62"/>
      <c r="N70" s="62"/>
      <c r="O70" s="72"/>
      <c r="P70" s="68"/>
      <c r="Q70" s="68"/>
      <c r="R70" s="68"/>
      <c r="S70" s="68"/>
      <c r="T70" s="68"/>
      <c r="U70" s="68"/>
      <c r="V70" s="68"/>
      <c r="W70" s="129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2"/>
      <c r="BA70" s="62"/>
      <c r="BB70" s="62"/>
      <c r="BC70" s="78"/>
      <c r="BD70" s="78"/>
      <c r="BE70" s="74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</row>
    <row r="71" ht="15.75" customHeight="1">
      <c r="A71" s="79"/>
      <c r="B71" s="79">
        <v>147885.0</v>
      </c>
      <c r="C71" s="79" t="s">
        <v>233</v>
      </c>
      <c r="D71" s="134" t="s">
        <v>177</v>
      </c>
      <c r="E71" s="73" t="s">
        <v>74</v>
      </c>
      <c r="F71" s="69"/>
      <c r="G71" s="68" t="s">
        <v>234</v>
      </c>
      <c r="H71" s="69"/>
      <c r="I71" s="65" t="s">
        <v>235</v>
      </c>
      <c r="J71" s="68"/>
      <c r="K71" s="136"/>
      <c r="L71" s="136"/>
      <c r="M71" s="136"/>
      <c r="N71" s="72"/>
      <c r="O71" s="72">
        <v>0.0</v>
      </c>
      <c r="P71" s="68"/>
      <c r="Q71" s="68"/>
      <c r="R71" s="68"/>
      <c r="S71" s="68"/>
      <c r="T71" s="94"/>
      <c r="U71" s="144"/>
      <c r="V71" s="144"/>
      <c r="W71" s="129"/>
      <c r="X71" s="72"/>
      <c r="Y71" s="94"/>
      <c r="Z71" s="130"/>
      <c r="AA71" s="130"/>
      <c r="AB71" s="130"/>
      <c r="AC71" s="130"/>
      <c r="AD71" s="68"/>
      <c r="AE71" s="68"/>
      <c r="AF71" s="68"/>
      <c r="AG71" s="68"/>
      <c r="AH71" s="131"/>
      <c r="AI71" s="145"/>
      <c r="AJ71" s="81"/>
      <c r="AK71" s="67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72"/>
      <c r="BB71" s="68"/>
      <c r="BC71" s="140"/>
      <c r="BD71" s="140"/>
      <c r="BE71" s="74"/>
      <c r="BF71" s="62"/>
      <c r="BG71" s="75"/>
      <c r="BH71" s="75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</row>
    <row r="72" ht="15.0" customHeight="1">
      <c r="A72" s="79"/>
      <c r="B72" s="83">
        <v>147864.0</v>
      </c>
      <c r="C72" s="134" t="s">
        <v>236</v>
      </c>
      <c r="D72" s="134" t="s">
        <v>177</v>
      </c>
      <c r="E72" s="73" t="s">
        <v>74</v>
      </c>
      <c r="F72" s="62"/>
      <c r="G72" s="64" t="s">
        <v>237</v>
      </c>
      <c r="H72" s="62"/>
      <c r="I72" s="65" t="s">
        <v>238</v>
      </c>
      <c r="J72" s="62"/>
      <c r="K72" s="62"/>
      <c r="L72" s="62"/>
      <c r="M72" s="62"/>
      <c r="N72" s="62"/>
      <c r="O72" s="72">
        <v>0.87</v>
      </c>
      <c r="P72" s="68">
        <v>4.0</v>
      </c>
      <c r="Q72" s="68">
        <v>4.0</v>
      </c>
      <c r="R72" s="68">
        <v>4.0</v>
      </c>
      <c r="S72" s="68">
        <v>6.0</v>
      </c>
      <c r="T72" s="68" t="s">
        <v>69</v>
      </c>
      <c r="U72" s="68">
        <v>234.0</v>
      </c>
      <c r="V72" s="68">
        <v>109.0</v>
      </c>
      <c r="W72" s="129">
        <v>4.0</v>
      </c>
      <c r="X72" s="72">
        <f>(U72-V72)/U72</f>
        <v>0.5341880342</v>
      </c>
      <c r="Y72" s="68" t="s">
        <v>74</v>
      </c>
      <c r="Z72" s="68" t="s">
        <v>75</v>
      </c>
      <c r="AA72" s="68" t="s">
        <v>75</v>
      </c>
      <c r="AB72" s="68" t="s">
        <v>75</v>
      </c>
      <c r="AC72" s="68" t="s">
        <v>75</v>
      </c>
      <c r="AD72" s="68">
        <v>20.0</v>
      </c>
      <c r="AE72" s="68">
        <v>0.0</v>
      </c>
      <c r="AF72" s="68" t="s">
        <v>76</v>
      </c>
      <c r="AG72" s="68" t="s">
        <v>74</v>
      </c>
      <c r="AH72" s="68" t="s">
        <v>82</v>
      </c>
      <c r="AI72" s="68" t="s">
        <v>82</v>
      </c>
      <c r="AJ72" s="68" t="s">
        <v>82</v>
      </c>
      <c r="AK72" s="68" t="s">
        <v>82</v>
      </c>
      <c r="AL72" s="68">
        <v>3.0</v>
      </c>
      <c r="AM72" s="68">
        <v>0.0</v>
      </c>
      <c r="AN72" s="68">
        <v>1.0</v>
      </c>
      <c r="AO72" s="68">
        <v>1.0</v>
      </c>
      <c r="AP72" s="68" t="s">
        <v>217</v>
      </c>
      <c r="AQ72" s="68">
        <v>3.0</v>
      </c>
      <c r="AR72" s="68">
        <v>1.0</v>
      </c>
      <c r="AS72" s="68">
        <v>2.0</v>
      </c>
      <c r="AT72" s="68">
        <v>1.0</v>
      </c>
      <c r="AU72" s="68">
        <v>1.0</v>
      </c>
      <c r="AV72" s="68">
        <v>1.0</v>
      </c>
      <c r="AW72" s="68">
        <v>1.0</v>
      </c>
      <c r="AX72" s="68">
        <v>1.0</v>
      </c>
      <c r="AY72" s="68">
        <v>1.0</v>
      </c>
      <c r="AZ72" s="62"/>
      <c r="BA72" s="62"/>
      <c r="BB72" s="62"/>
      <c r="BC72" s="78"/>
      <c r="BD72" s="78"/>
      <c r="BE72" s="74" t="str">
        <f>IF(O72&gt;60%,"YES","No")</f>
        <v>YES</v>
      </c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</row>
    <row r="73" ht="15.0" customHeight="1">
      <c r="A73" s="79"/>
      <c r="B73" s="83">
        <v>147676.0</v>
      </c>
      <c r="C73" s="134" t="s">
        <v>239</v>
      </c>
      <c r="D73" s="134" t="s">
        <v>177</v>
      </c>
      <c r="E73" s="73" t="s">
        <v>74</v>
      </c>
      <c r="F73" s="62"/>
      <c r="G73" s="64" t="s">
        <v>240</v>
      </c>
      <c r="H73" s="62"/>
      <c r="I73" s="65" t="s">
        <v>188</v>
      </c>
      <c r="J73" s="62"/>
      <c r="K73" s="62"/>
      <c r="L73" s="62"/>
      <c r="M73" s="62"/>
      <c r="N73" s="62"/>
      <c r="O73" s="72">
        <v>0.0</v>
      </c>
      <c r="P73" s="68"/>
      <c r="Q73" s="68"/>
      <c r="R73" s="68"/>
      <c r="S73" s="68"/>
      <c r="T73" s="68"/>
      <c r="U73" s="68"/>
      <c r="V73" s="68"/>
      <c r="W73" s="129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2"/>
      <c r="BA73" s="62"/>
      <c r="BB73" s="62"/>
      <c r="BC73" s="78"/>
      <c r="BD73" s="78"/>
      <c r="BE73" s="74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</row>
    <row r="74" ht="15.0" customHeight="1">
      <c r="A74" s="79"/>
      <c r="B74" s="83">
        <v>147675.0</v>
      </c>
      <c r="C74" s="134" t="s">
        <v>241</v>
      </c>
      <c r="D74" s="134" t="s">
        <v>177</v>
      </c>
      <c r="E74" s="73" t="s">
        <v>74</v>
      </c>
      <c r="F74" s="62"/>
      <c r="G74" s="64" t="s">
        <v>240</v>
      </c>
      <c r="H74" s="62"/>
      <c r="I74" s="65" t="s">
        <v>188</v>
      </c>
      <c r="J74" s="62"/>
      <c r="K74" s="62"/>
      <c r="L74" s="62"/>
      <c r="M74" s="62"/>
      <c r="N74" s="62"/>
      <c r="O74" s="72">
        <v>0.0</v>
      </c>
      <c r="P74" s="68"/>
      <c r="Q74" s="68"/>
      <c r="R74" s="68"/>
      <c r="S74" s="68"/>
      <c r="T74" s="68"/>
      <c r="U74" s="68"/>
      <c r="V74" s="68"/>
      <c r="W74" s="129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2"/>
      <c r="BA74" s="62"/>
      <c r="BB74" s="62"/>
      <c r="BC74" s="78"/>
      <c r="BD74" s="78"/>
      <c r="BE74" s="74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</row>
    <row r="75" ht="15.0" customHeight="1">
      <c r="A75" s="79"/>
      <c r="B75" s="83">
        <v>147585.0</v>
      </c>
      <c r="C75" s="134" t="s">
        <v>242</v>
      </c>
      <c r="D75" s="134" t="s">
        <v>177</v>
      </c>
      <c r="E75" s="73" t="s">
        <v>74</v>
      </c>
      <c r="F75" s="62"/>
      <c r="G75" s="64" t="s">
        <v>240</v>
      </c>
      <c r="H75" s="62"/>
      <c r="I75" s="65" t="s">
        <v>188</v>
      </c>
      <c r="J75" s="62"/>
      <c r="K75" s="62"/>
      <c r="L75" s="62"/>
      <c r="M75" s="62"/>
      <c r="N75" s="62"/>
      <c r="O75" s="72"/>
      <c r="P75" s="68"/>
      <c r="Q75" s="68"/>
      <c r="R75" s="68"/>
      <c r="S75" s="68"/>
      <c r="T75" s="68"/>
      <c r="U75" s="68"/>
      <c r="V75" s="68"/>
      <c r="W75" s="129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2"/>
      <c r="BA75" s="62"/>
      <c r="BB75" s="62"/>
      <c r="BC75" s="78"/>
      <c r="BD75" s="78"/>
      <c r="BE75" s="74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</row>
    <row r="76" ht="15.0" customHeight="1">
      <c r="A76" s="79"/>
      <c r="B76" s="79">
        <v>147385.0</v>
      </c>
      <c r="C76" s="62" t="s">
        <v>243</v>
      </c>
      <c r="D76" s="134" t="s">
        <v>177</v>
      </c>
      <c r="E76" s="73" t="s">
        <v>74</v>
      </c>
      <c r="F76" s="62"/>
      <c r="G76" s="68" t="s">
        <v>240</v>
      </c>
      <c r="H76" s="62"/>
      <c r="I76" s="69" t="s">
        <v>188</v>
      </c>
      <c r="J76" s="62"/>
      <c r="K76" s="62"/>
      <c r="L76" s="62"/>
      <c r="M76" s="62"/>
      <c r="N76" s="62"/>
      <c r="O76" s="72"/>
      <c r="P76" s="68"/>
      <c r="Q76" s="68"/>
      <c r="R76" s="68"/>
      <c r="S76" s="68"/>
      <c r="T76" s="68"/>
      <c r="U76" s="68"/>
      <c r="V76" s="68"/>
      <c r="W76" s="129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2"/>
      <c r="BA76" s="62"/>
      <c r="BB76" s="62"/>
      <c r="BC76" s="78"/>
      <c r="BD76" s="78"/>
      <c r="BE76" s="74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</row>
    <row r="77" ht="15.0" customHeight="1">
      <c r="A77" s="79"/>
      <c r="B77" s="83">
        <v>147665.0</v>
      </c>
      <c r="C77" s="134" t="s">
        <v>244</v>
      </c>
      <c r="D77" s="134" t="s">
        <v>177</v>
      </c>
      <c r="E77" s="73" t="s">
        <v>74</v>
      </c>
      <c r="F77" s="62"/>
      <c r="G77" s="64"/>
      <c r="H77" s="62"/>
      <c r="I77" s="65" t="s">
        <v>188</v>
      </c>
      <c r="J77" s="62"/>
      <c r="K77" s="62"/>
      <c r="L77" s="62"/>
      <c r="M77" s="62"/>
      <c r="N77" s="62"/>
      <c r="O77" s="72"/>
      <c r="P77" s="68"/>
      <c r="Q77" s="68"/>
      <c r="R77" s="68"/>
      <c r="S77" s="68"/>
      <c r="T77" s="68"/>
      <c r="U77" s="68"/>
      <c r="V77" s="68"/>
      <c r="W77" s="129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2"/>
      <c r="BA77" s="62"/>
      <c r="BB77" s="62"/>
      <c r="BC77" s="78"/>
      <c r="BD77" s="78"/>
      <c r="BE77" s="74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</row>
    <row r="78" ht="15.0" customHeight="1">
      <c r="A78" s="79"/>
      <c r="B78" s="83">
        <v>147670.0</v>
      </c>
      <c r="C78" s="134" t="s">
        <v>245</v>
      </c>
      <c r="D78" s="134" t="s">
        <v>177</v>
      </c>
      <c r="E78" s="73" t="s">
        <v>74</v>
      </c>
      <c r="F78" s="62"/>
      <c r="G78" s="64"/>
      <c r="H78" s="62"/>
      <c r="I78" s="65" t="s">
        <v>188</v>
      </c>
      <c r="J78" s="62"/>
      <c r="K78" s="62"/>
      <c r="L78" s="62"/>
      <c r="M78" s="62"/>
      <c r="N78" s="62"/>
      <c r="O78" s="72"/>
      <c r="P78" s="68"/>
      <c r="Q78" s="68"/>
      <c r="R78" s="68"/>
      <c r="S78" s="68"/>
      <c r="T78" s="68"/>
      <c r="U78" s="68"/>
      <c r="V78" s="68"/>
      <c r="W78" s="129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2"/>
      <c r="BA78" s="62"/>
      <c r="BB78" s="62"/>
      <c r="BC78" s="78"/>
      <c r="BD78" s="78"/>
      <c r="BE78" s="74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</row>
    <row r="79" ht="15.0" customHeight="1">
      <c r="A79" s="79"/>
      <c r="B79" s="83">
        <v>147633.0</v>
      </c>
      <c r="C79" s="134" t="s">
        <v>246</v>
      </c>
      <c r="D79" s="134" t="s">
        <v>177</v>
      </c>
      <c r="E79" s="73" t="s">
        <v>74</v>
      </c>
      <c r="F79" s="62"/>
      <c r="G79" s="64"/>
      <c r="H79" s="62"/>
      <c r="I79" s="65" t="s">
        <v>188</v>
      </c>
      <c r="J79" s="62"/>
      <c r="K79" s="62"/>
      <c r="L79" s="62"/>
      <c r="M79" s="62"/>
      <c r="N79" s="62"/>
      <c r="O79" s="72"/>
      <c r="P79" s="68"/>
      <c r="Q79" s="68"/>
      <c r="R79" s="68"/>
      <c r="S79" s="68"/>
      <c r="T79" s="68"/>
      <c r="U79" s="68"/>
      <c r="V79" s="68"/>
      <c r="W79" s="129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2"/>
      <c r="BA79" s="62"/>
      <c r="BB79" s="62"/>
      <c r="BC79" s="78"/>
      <c r="BD79" s="78"/>
      <c r="BE79" s="74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</row>
    <row r="80" ht="15.0" customHeight="1">
      <c r="A80" s="79"/>
      <c r="B80" s="83">
        <v>147621.0</v>
      </c>
      <c r="C80" s="134" t="s">
        <v>247</v>
      </c>
      <c r="D80" s="134" t="s">
        <v>177</v>
      </c>
      <c r="E80" s="73" t="s">
        <v>74</v>
      </c>
      <c r="F80" s="62"/>
      <c r="G80" s="64"/>
      <c r="H80" s="62"/>
      <c r="I80" s="65" t="s">
        <v>188</v>
      </c>
      <c r="J80" s="62"/>
      <c r="K80" s="62"/>
      <c r="L80" s="62"/>
      <c r="M80" s="62"/>
      <c r="N80" s="62"/>
      <c r="O80" s="72"/>
      <c r="P80" s="68"/>
      <c r="Q80" s="68"/>
      <c r="R80" s="68"/>
      <c r="S80" s="68"/>
      <c r="T80" s="68"/>
      <c r="U80" s="68"/>
      <c r="V80" s="68"/>
      <c r="W80" s="129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2"/>
      <c r="BA80" s="62"/>
      <c r="BB80" s="62"/>
      <c r="BC80" s="78"/>
      <c r="BD80" s="78"/>
      <c r="BE80" s="74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</row>
    <row r="81" ht="15.0" customHeight="1">
      <c r="A81" s="79"/>
      <c r="B81" s="83">
        <v>147682.0</v>
      </c>
      <c r="C81" s="134" t="s">
        <v>248</v>
      </c>
      <c r="D81" s="134" t="s">
        <v>177</v>
      </c>
      <c r="E81" s="73" t="s">
        <v>74</v>
      </c>
      <c r="F81" s="62"/>
      <c r="G81" s="64"/>
      <c r="H81" s="62"/>
      <c r="I81" s="65" t="s">
        <v>188</v>
      </c>
      <c r="J81" s="62"/>
      <c r="K81" s="62"/>
      <c r="L81" s="62"/>
      <c r="M81" s="62"/>
      <c r="N81" s="62"/>
      <c r="O81" s="72"/>
      <c r="P81" s="68"/>
      <c r="Q81" s="68"/>
      <c r="R81" s="68"/>
      <c r="S81" s="68"/>
      <c r="T81" s="68"/>
      <c r="U81" s="68"/>
      <c r="V81" s="68"/>
      <c r="W81" s="129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2"/>
      <c r="BA81" s="62"/>
      <c r="BB81" s="62"/>
      <c r="BC81" s="78"/>
      <c r="BD81" s="78"/>
      <c r="BE81" s="74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</row>
    <row r="82" ht="15.0" customHeight="1">
      <c r="A82" s="79"/>
      <c r="B82" s="83">
        <v>147770.0</v>
      </c>
      <c r="C82" s="134" t="s">
        <v>249</v>
      </c>
      <c r="D82" s="134" t="s">
        <v>177</v>
      </c>
      <c r="E82" s="73" t="s">
        <v>74</v>
      </c>
      <c r="F82" s="62"/>
      <c r="G82" s="64"/>
      <c r="H82" s="62"/>
      <c r="I82" s="65" t="s">
        <v>188</v>
      </c>
      <c r="J82" s="62"/>
      <c r="K82" s="62"/>
      <c r="L82" s="62"/>
      <c r="M82" s="62"/>
      <c r="N82" s="62"/>
      <c r="O82" s="72"/>
      <c r="P82" s="68"/>
      <c r="Q82" s="68"/>
      <c r="R82" s="68"/>
      <c r="S82" s="68"/>
      <c r="T82" s="68"/>
      <c r="U82" s="68"/>
      <c r="V82" s="68"/>
      <c r="W82" s="129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2"/>
      <c r="BA82" s="62"/>
      <c r="BB82" s="62"/>
      <c r="BC82" s="78"/>
      <c r="BD82" s="78"/>
      <c r="BE82" s="74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</row>
    <row r="83" ht="15.0" customHeight="1">
      <c r="A83" s="79"/>
      <c r="B83" s="83">
        <v>147710.0</v>
      </c>
      <c r="C83" s="134" t="s">
        <v>250</v>
      </c>
      <c r="D83" s="134" t="s">
        <v>177</v>
      </c>
      <c r="E83" s="73" t="s">
        <v>74</v>
      </c>
      <c r="F83" s="62"/>
      <c r="G83" s="64"/>
      <c r="H83" s="62"/>
      <c r="I83" s="65" t="s">
        <v>188</v>
      </c>
      <c r="J83" s="62"/>
      <c r="K83" s="62"/>
      <c r="L83" s="62"/>
      <c r="M83" s="62"/>
      <c r="N83" s="62"/>
      <c r="O83" s="72"/>
      <c r="P83" s="68"/>
      <c r="Q83" s="68"/>
      <c r="R83" s="68"/>
      <c r="S83" s="68"/>
      <c r="T83" s="68"/>
      <c r="U83" s="68"/>
      <c r="V83" s="68"/>
      <c r="W83" s="129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2"/>
      <c r="BA83" s="62"/>
      <c r="BB83" s="62"/>
      <c r="BC83" s="78"/>
      <c r="BD83" s="78"/>
      <c r="BE83" s="74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</row>
    <row r="84" ht="15.0" customHeight="1">
      <c r="A84" s="79"/>
      <c r="B84" s="83">
        <v>147751.0</v>
      </c>
      <c r="C84" s="134" t="s">
        <v>251</v>
      </c>
      <c r="D84" s="134" t="s">
        <v>177</v>
      </c>
      <c r="E84" s="73" t="s">
        <v>74</v>
      </c>
      <c r="F84" s="62"/>
      <c r="G84" s="64"/>
      <c r="H84" s="62"/>
      <c r="I84" s="65" t="s">
        <v>188</v>
      </c>
      <c r="J84" s="62"/>
      <c r="K84" s="62"/>
      <c r="L84" s="62"/>
      <c r="M84" s="62"/>
      <c r="N84" s="62"/>
      <c r="O84" s="72"/>
      <c r="P84" s="68"/>
      <c r="Q84" s="68"/>
      <c r="R84" s="68"/>
      <c r="S84" s="68"/>
      <c r="T84" s="68"/>
      <c r="U84" s="68"/>
      <c r="V84" s="68"/>
      <c r="W84" s="129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2"/>
      <c r="BA84" s="62"/>
      <c r="BB84" s="62"/>
      <c r="BC84" s="78"/>
      <c r="BD84" s="78"/>
      <c r="BE84" s="74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</row>
    <row r="85" ht="15.0" customHeight="1">
      <c r="A85" s="79"/>
      <c r="B85" s="83">
        <v>147750.0</v>
      </c>
      <c r="C85" s="134" t="s">
        <v>252</v>
      </c>
      <c r="D85" s="134" t="s">
        <v>177</v>
      </c>
      <c r="E85" s="73" t="s">
        <v>74</v>
      </c>
      <c r="F85" s="62"/>
      <c r="G85" s="64"/>
      <c r="H85" s="62"/>
      <c r="I85" s="65" t="s">
        <v>188</v>
      </c>
      <c r="J85" s="62"/>
      <c r="K85" s="62"/>
      <c r="L85" s="62"/>
      <c r="M85" s="62"/>
      <c r="N85" s="62"/>
      <c r="O85" s="72"/>
      <c r="P85" s="68"/>
      <c r="Q85" s="68"/>
      <c r="R85" s="68"/>
      <c r="S85" s="68"/>
      <c r="T85" s="68"/>
      <c r="U85" s="68"/>
      <c r="V85" s="68"/>
      <c r="W85" s="129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2"/>
      <c r="BA85" s="62"/>
      <c r="BB85" s="62"/>
      <c r="BC85" s="78"/>
      <c r="BD85" s="78"/>
      <c r="BE85" s="74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</row>
    <row r="86" ht="15.0" customHeight="1">
      <c r="A86" s="79"/>
      <c r="B86" s="83">
        <v>147749.0</v>
      </c>
      <c r="C86" s="134" t="s">
        <v>253</v>
      </c>
      <c r="D86" s="134" t="s">
        <v>177</v>
      </c>
      <c r="E86" s="73" t="s">
        <v>74</v>
      </c>
      <c r="F86" s="62"/>
      <c r="G86" s="64"/>
      <c r="H86" s="62"/>
      <c r="I86" s="65" t="s">
        <v>188</v>
      </c>
      <c r="J86" s="62"/>
      <c r="K86" s="62"/>
      <c r="L86" s="62"/>
      <c r="M86" s="62"/>
      <c r="N86" s="62"/>
      <c r="O86" s="72"/>
      <c r="P86" s="68"/>
      <c r="Q86" s="68"/>
      <c r="R86" s="68"/>
      <c r="S86" s="68"/>
      <c r="T86" s="68"/>
      <c r="U86" s="68"/>
      <c r="V86" s="68"/>
      <c r="W86" s="129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2"/>
      <c r="BA86" s="62"/>
      <c r="BB86" s="62"/>
      <c r="BC86" s="78"/>
      <c r="BD86" s="78"/>
      <c r="BE86" s="74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</row>
    <row r="87" ht="15.0" customHeight="1">
      <c r="A87" s="79"/>
      <c r="B87" s="83">
        <v>147749.0</v>
      </c>
      <c r="C87" s="134" t="s">
        <v>254</v>
      </c>
      <c r="D87" s="134" t="s">
        <v>177</v>
      </c>
      <c r="E87" s="73" t="s">
        <v>74</v>
      </c>
      <c r="F87" s="62"/>
      <c r="G87" s="64"/>
      <c r="H87" s="62"/>
      <c r="I87" s="65" t="s">
        <v>188</v>
      </c>
      <c r="J87" s="62"/>
      <c r="K87" s="62"/>
      <c r="L87" s="62"/>
      <c r="M87" s="62"/>
      <c r="N87" s="62"/>
      <c r="O87" s="72"/>
      <c r="P87" s="68"/>
      <c r="Q87" s="68"/>
      <c r="R87" s="68"/>
      <c r="S87" s="68"/>
      <c r="T87" s="68"/>
      <c r="U87" s="68"/>
      <c r="V87" s="68"/>
      <c r="W87" s="129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2"/>
      <c r="BA87" s="62"/>
      <c r="BB87" s="62"/>
      <c r="BC87" s="78"/>
      <c r="BD87" s="78"/>
      <c r="BE87" s="74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</row>
    <row r="88" ht="15.0" customHeight="1">
      <c r="A88" s="79"/>
      <c r="B88" s="83">
        <v>147741.0</v>
      </c>
      <c r="C88" s="134" t="s">
        <v>255</v>
      </c>
      <c r="D88" s="134" t="s">
        <v>177</v>
      </c>
      <c r="E88" s="73" t="s">
        <v>74</v>
      </c>
      <c r="F88" s="62"/>
      <c r="G88" s="64"/>
      <c r="H88" s="62"/>
      <c r="I88" s="65" t="s">
        <v>188</v>
      </c>
      <c r="J88" s="62"/>
      <c r="K88" s="62"/>
      <c r="L88" s="62"/>
      <c r="M88" s="62"/>
      <c r="N88" s="62"/>
      <c r="O88" s="72"/>
      <c r="P88" s="68"/>
      <c r="Q88" s="68"/>
      <c r="R88" s="68"/>
      <c r="S88" s="68"/>
      <c r="T88" s="68"/>
      <c r="U88" s="68"/>
      <c r="V88" s="68"/>
      <c r="W88" s="129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2"/>
      <c r="BA88" s="62"/>
      <c r="BB88" s="62"/>
      <c r="BC88" s="78"/>
      <c r="BD88" s="78"/>
      <c r="BE88" s="74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</row>
    <row r="89" ht="15.75" customHeight="1">
      <c r="A89" s="79"/>
      <c r="B89" s="79">
        <v>147851.0</v>
      </c>
      <c r="C89" s="79" t="s">
        <v>256</v>
      </c>
      <c r="D89" s="134" t="s">
        <v>177</v>
      </c>
      <c r="E89" s="73" t="s">
        <v>257</v>
      </c>
      <c r="F89" s="69"/>
      <c r="G89" s="69"/>
      <c r="H89" s="69"/>
      <c r="I89" s="65" t="s">
        <v>238</v>
      </c>
      <c r="J89" s="68"/>
      <c r="K89" s="136"/>
      <c r="L89" s="136"/>
      <c r="M89" s="136"/>
      <c r="N89" s="72"/>
      <c r="O89" s="72"/>
      <c r="P89" s="68"/>
      <c r="Q89" s="68"/>
      <c r="R89" s="68"/>
      <c r="S89" s="68"/>
      <c r="T89" s="68"/>
      <c r="U89" s="68"/>
      <c r="V89" s="68"/>
      <c r="W89" s="129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4"/>
      <c r="BA89" s="64"/>
      <c r="BB89" s="64"/>
      <c r="BC89" s="140"/>
      <c r="BD89" s="140"/>
      <c r="BE89" s="74" t="str">
        <f>IF(O89&gt;60%,"YES","No")</f>
        <v>No</v>
      </c>
      <c r="BF89" s="62" t="str">
        <f>C89</f>
        <v>Leesburg FEMC</v>
      </c>
      <c r="BG89" s="75" t="str">
        <f>I89</f>
        <v>Cory Griffin</v>
      </c>
      <c r="BH89" s="75" t="str">
        <f>IF(BA89&gt;65%,"No need to contact","need to contact")</f>
        <v>need to contact</v>
      </c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</row>
    <row r="90" ht="15.75" customHeight="1">
      <c r="A90" s="79"/>
      <c r="B90" s="79">
        <v>147888.0</v>
      </c>
      <c r="C90" s="79" t="s">
        <v>258</v>
      </c>
      <c r="D90" s="134" t="s">
        <v>177</v>
      </c>
      <c r="E90" s="73" t="s">
        <v>98</v>
      </c>
      <c r="F90" s="69"/>
      <c r="G90" s="68"/>
      <c r="H90" s="69"/>
      <c r="I90" s="65" t="s">
        <v>188</v>
      </c>
      <c r="J90" s="68"/>
      <c r="K90" s="136"/>
      <c r="L90" s="136"/>
      <c r="M90" s="136"/>
      <c r="N90" s="72"/>
      <c r="O90" s="72"/>
      <c r="P90" s="68"/>
      <c r="Q90" s="68"/>
      <c r="R90" s="68"/>
      <c r="S90" s="68"/>
      <c r="T90" s="94"/>
      <c r="U90" s="144"/>
      <c r="V90" s="144"/>
      <c r="W90" s="144"/>
      <c r="X90" s="72"/>
      <c r="Y90" s="94"/>
      <c r="Z90" s="130"/>
      <c r="AA90" s="130"/>
      <c r="AB90" s="130"/>
      <c r="AC90" s="130"/>
      <c r="AD90" s="68"/>
      <c r="AE90" s="68"/>
      <c r="AF90" s="68"/>
      <c r="AG90" s="68"/>
      <c r="AH90" s="131"/>
      <c r="AI90" s="145"/>
      <c r="AJ90" s="81"/>
      <c r="AK90" s="67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72"/>
      <c r="BB90" s="68"/>
      <c r="BC90" s="140"/>
      <c r="BD90" s="140"/>
      <c r="BE90" s="74"/>
      <c r="BF90" s="62"/>
      <c r="BG90" s="75"/>
      <c r="BH90" s="75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</row>
    <row r="91" ht="15.75" customHeight="1">
      <c r="A91" s="79"/>
      <c r="B91" s="79">
        <v>147896.0</v>
      </c>
      <c r="C91" s="79" t="s">
        <v>259</v>
      </c>
      <c r="D91" s="134" t="s">
        <v>177</v>
      </c>
      <c r="E91" s="73" t="s">
        <v>98</v>
      </c>
      <c r="F91" s="69"/>
      <c r="G91" s="68"/>
      <c r="H91" s="69"/>
      <c r="I91" s="65" t="s">
        <v>188</v>
      </c>
      <c r="J91" s="68"/>
      <c r="K91" s="136"/>
      <c r="L91" s="136"/>
      <c r="M91" s="136"/>
      <c r="N91" s="72"/>
      <c r="O91" s="72"/>
      <c r="P91" s="68"/>
      <c r="Q91" s="68"/>
      <c r="R91" s="68"/>
      <c r="S91" s="68"/>
      <c r="T91" s="94"/>
      <c r="U91" s="144"/>
      <c r="V91" s="144"/>
      <c r="W91" s="144"/>
      <c r="X91" s="72"/>
      <c r="Y91" s="94"/>
      <c r="Z91" s="130"/>
      <c r="AA91" s="130"/>
      <c r="AB91" s="130"/>
      <c r="AC91" s="130"/>
      <c r="AD91" s="68"/>
      <c r="AE91" s="68"/>
      <c r="AF91" s="68"/>
      <c r="AG91" s="68"/>
      <c r="AH91" s="131"/>
      <c r="AI91" s="145"/>
      <c r="AJ91" s="81"/>
      <c r="AK91" s="67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72"/>
      <c r="BB91" s="68"/>
      <c r="BC91" s="140"/>
      <c r="BD91" s="140"/>
      <c r="BE91" s="74"/>
      <c r="BF91" s="62"/>
      <c r="BG91" s="75"/>
      <c r="BH91" s="75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</row>
    <row r="92" ht="15.75" customHeight="1">
      <c r="A92" s="79"/>
      <c r="B92" s="79">
        <v>147889.0</v>
      </c>
      <c r="C92" s="79" t="s">
        <v>260</v>
      </c>
      <c r="D92" s="134" t="s">
        <v>177</v>
      </c>
      <c r="E92" s="73" t="s">
        <v>98</v>
      </c>
      <c r="F92" s="69"/>
      <c r="G92" s="68"/>
      <c r="H92" s="69"/>
      <c r="I92" s="65" t="s">
        <v>188</v>
      </c>
      <c r="J92" s="68"/>
      <c r="K92" s="136"/>
      <c r="L92" s="136"/>
      <c r="M92" s="136"/>
      <c r="N92" s="72"/>
      <c r="O92" s="72"/>
      <c r="P92" s="68"/>
      <c r="Q92" s="68"/>
      <c r="R92" s="68"/>
      <c r="S92" s="68"/>
      <c r="T92" s="94"/>
      <c r="U92" s="144"/>
      <c r="V92" s="144"/>
      <c r="W92" s="144"/>
      <c r="X92" s="72"/>
      <c r="Y92" s="94"/>
      <c r="Z92" s="130"/>
      <c r="AA92" s="130"/>
      <c r="AB92" s="130"/>
      <c r="AC92" s="130"/>
      <c r="AD92" s="68"/>
      <c r="AE92" s="68"/>
      <c r="AF92" s="68"/>
      <c r="AG92" s="68"/>
      <c r="AH92" s="131"/>
      <c r="AI92" s="145"/>
      <c r="AJ92" s="81"/>
      <c r="AK92" s="67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72"/>
      <c r="BB92" s="68"/>
      <c r="BC92" s="140"/>
      <c r="BD92" s="140"/>
      <c r="BE92" s="74"/>
      <c r="BF92" s="62"/>
      <c r="BG92" s="75"/>
      <c r="BH92" s="75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</row>
    <row r="93" ht="15.75" customHeight="1">
      <c r="A93" s="79"/>
      <c r="B93" s="79">
        <v>147772.0</v>
      </c>
      <c r="C93" s="79" t="s">
        <v>261</v>
      </c>
      <c r="D93" s="134" t="s">
        <v>177</v>
      </c>
      <c r="E93" s="73" t="s">
        <v>98</v>
      </c>
      <c r="F93" s="69"/>
      <c r="G93" s="68"/>
      <c r="H93" s="69"/>
      <c r="I93" s="65" t="s">
        <v>188</v>
      </c>
      <c r="J93" s="68"/>
      <c r="K93" s="136"/>
      <c r="L93" s="136"/>
      <c r="M93" s="136"/>
      <c r="N93" s="72"/>
      <c r="O93" s="72"/>
      <c r="P93" s="68"/>
      <c r="Q93" s="68"/>
      <c r="R93" s="68"/>
      <c r="S93" s="68"/>
      <c r="T93" s="94"/>
      <c r="U93" s="144"/>
      <c r="V93" s="144"/>
      <c r="W93" s="144"/>
      <c r="X93" s="72"/>
      <c r="Y93" s="94"/>
      <c r="Z93" s="130"/>
      <c r="AA93" s="130"/>
      <c r="AB93" s="130"/>
      <c r="AC93" s="130"/>
      <c r="AD93" s="68"/>
      <c r="AE93" s="68"/>
      <c r="AF93" s="68"/>
      <c r="AG93" s="68"/>
      <c r="AH93" s="131"/>
      <c r="AI93" s="145"/>
      <c r="AJ93" s="81"/>
      <c r="AK93" s="67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72"/>
      <c r="BB93" s="68"/>
      <c r="BC93" s="140"/>
      <c r="BD93" s="140"/>
      <c r="BE93" s="74"/>
      <c r="BF93" s="62"/>
      <c r="BG93" s="75"/>
      <c r="BH93" s="75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</row>
    <row r="94" ht="15.75" customHeight="1">
      <c r="A94" s="79"/>
      <c r="B94" s="79">
        <v>147771.0</v>
      </c>
      <c r="C94" s="79" t="s">
        <v>262</v>
      </c>
      <c r="D94" s="134" t="s">
        <v>177</v>
      </c>
      <c r="E94" s="73" t="s">
        <v>98</v>
      </c>
      <c r="F94" s="69"/>
      <c r="G94" s="68"/>
      <c r="H94" s="69"/>
      <c r="I94" s="65" t="s">
        <v>188</v>
      </c>
      <c r="J94" s="68"/>
      <c r="K94" s="136"/>
      <c r="L94" s="136"/>
      <c r="M94" s="136"/>
      <c r="N94" s="72"/>
      <c r="O94" s="72"/>
      <c r="P94" s="68"/>
      <c r="Q94" s="68"/>
      <c r="R94" s="68"/>
      <c r="S94" s="68"/>
      <c r="T94" s="94"/>
      <c r="U94" s="144"/>
      <c r="V94" s="144"/>
      <c r="W94" s="144"/>
      <c r="X94" s="72"/>
      <c r="Y94" s="94"/>
      <c r="Z94" s="130"/>
      <c r="AA94" s="130"/>
      <c r="AB94" s="130"/>
      <c r="AC94" s="130"/>
      <c r="AD94" s="68"/>
      <c r="AE94" s="68"/>
      <c r="AF94" s="68"/>
      <c r="AG94" s="68"/>
      <c r="AH94" s="131"/>
      <c r="AI94" s="145"/>
      <c r="AJ94" s="81"/>
      <c r="AK94" s="67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72"/>
      <c r="BB94" s="68"/>
      <c r="BC94" s="140"/>
      <c r="BD94" s="140"/>
      <c r="BE94" s="74"/>
      <c r="BF94" s="62"/>
      <c r="BG94" s="75"/>
      <c r="BH94" s="75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</row>
    <row r="95" ht="15.75" customHeight="1">
      <c r="A95" s="79"/>
      <c r="B95" s="79">
        <v>147858.0</v>
      </c>
      <c r="C95" s="79" t="s">
        <v>263</v>
      </c>
      <c r="D95" s="134" t="s">
        <v>177</v>
      </c>
      <c r="E95" s="73" t="s">
        <v>98</v>
      </c>
      <c r="F95" s="69"/>
      <c r="G95" s="68"/>
      <c r="H95" s="69"/>
      <c r="I95" s="65" t="s">
        <v>188</v>
      </c>
      <c r="J95" s="68"/>
      <c r="K95" s="136"/>
      <c r="L95" s="136"/>
      <c r="M95" s="136"/>
      <c r="N95" s="72"/>
      <c r="O95" s="72"/>
      <c r="P95" s="68"/>
      <c r="Q95" s="68"/>
      <c r="R95" s="68"/>
      <c r="S95" s="68"/>
      <c r="T95" s="94"/>
      <c r="U95" s="144"/>
      <c r="V95" s="144"/>
      <c r="W95" s="144"/>
      <c r="X95" s="72"/>
      <c r="Y95" s="94"/>
      <c r="Z95" s="130"/>
      <c r="AA95" s="130"/>
      <c r="AB95" s="130"/>
      <c r="AC95" s="130"/>
      <c r="AD95" s="68"/>
      <c r="AE95" s="68"/>
      <c r="AF95" s="68"/>
      <c r="AG95" s="68"/>
      <c r="AH95" s="131"/>
      <c r="AI95" s="145"/>
      <c r="AJ95" s="81"/>
      <c r="AK95" s="67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72"/>
      <c r="BB95" s="68"/>
      <c r="BC95" s="140"/>
      <c r="BD95" s="140"/>
      <c r="BE95" s="74"/>
      <c r="BF95" s="62"/>
      <c r="BG95" s="75"/>
      <c r="BH95" s="75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</row>
    <row r="96" ht="13.5" customHeight="1">
      <c r="A96" s="83"/>
      <c r="B96" s="79">
        <v>147864.0</v>
      </c>
      <c r="C96" s="62" t="s">
        <v>264</v>
      </c>
      <c r="D96" s="134" t="s">
        <v>177</v>
      </c>
      <c r="E96" s="73" t="s">
        <v>74</v>
      </c>
      <c r="F96" s="67"/>
      <c r="G96" s="64"/>
      <c r="H96" s="135"/>
      <c r="I96" s="69" t="s">
        <v>238</v>
      </c>
      <c r="J96" s="68"/>
      <c r="K96" s="74"/>
      <c r="L96" s="62"/>
      <c r="M96" s="94"/>
      <c r="N96" s="81"/>
      <c r="O96" s="72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72"/>
      <c r="BB96" s="68"/>
      <c r="BC96" s="70"/>
      <c r="BD96" s="70"/>
      <c r="BE96" s="74" t="str">
        <f t="shared" ref="BE96:BE105" si="30">IF(O96&gt;60%,"YES","No")</f>
        <v>No</v>
      </c>
      <c r="BF96" s="62"/>
      <c r="BG96" s="75"/>
      <c r="BH96" s="75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</row>
    <row r="97" ht="15.75" customHeight="1">
      <c r="A97" s="79"/>
      <c r="B97" s="79">
        <v>147590.001</v>
      </c>
      <c r="C97" s="79" t="s">
        <v>265</v>
      </c>
      <c r="D97" s="134" t="s">
        <v>177</v>
      </c>
      <c r="E97" s="73" t="s">
        <v>74</v>
      </c>
      <c r="F97" s="69" t="s">
        <v>266</v>
      </c>
      <c r="G97" s="69"/>
      <c r="H97" s="69"/>
      <c r="I97" s="69" t="s">
        <v>267</v>
      </c>
      <c r="J97" s="68"/>
      <c r="K97" s="136"/>
      <c r="L97" s="136"/>
      <c r="M97" s="136"/>
      <c r="N97" s="72"/>
      <c r="O97" s="72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4"/>
      <c r="BA97" s="64"/>
      <c r="BB97" s="64"/>
      <c r="BC97" s="140"/>
      <c r="BD97" s="140"/>
      <c r="BE97" s="74" t="str">
        <f t="shared" si="30"/>
        <v>No</v>
      </c>
      <c r="BF97" s="62" t="str">
        <f t="shared" ref="BF97:BF105" si="31">C97</f>
        <v>MCA 3 North- Exam Room</v>
      </c>
      <c r="BG97" s="62" t="str">
        <f t="shared" ref="BG97:BG105" si="32">I97</f>
        <v>Whitney, Kelly</v>
      </c>
      <c r="BH97" s="62" t="str">
        <f t="shared" ref="BH97:BH105" si="33">IF(BA97&gt;65%,"No need to contact","need to contact")</f>
        <v>need to contact</v>
      </c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</row>
    <row r="98" ht="15.75" customHeight="1">
      <c r="A98" s="79"/>
      <c r="B98" s="79">
        <v>147774.0</v>
      </c>
      <c r="C98" s="79" t="s">
        <v>268</v>
      </c>
      <c r="D98" s="134" t="s">
        <v>177</v>
      </c>
      <c r="E98" s="73" t="s">
        <v>74</v>
      </c>
      <c r="F98" s="69" t="s">
        <v>194</v>
      </c>
      <c r="G98" s="69"/>
      <c r="H98" s="69"/>
      <c r="I98" s="69" t="s">
        <v>269</v>
      </c>
      <c r="J98" s="68"/>
      <c r="K98" s="136"/>
      <c r="L98" s="136"/>
      <c r="M98" s="136"/>
      <c r="N98" s="72"/>
      <c r="O98" s="72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4"/>
      <c r="BA98" s="64"/>
      <c r="BB98" s="64"/>
      <c r="BC98" s="140"/>
      <c r="BD98" s="140"/>
      <c r="BE98" s="74" t="str">
        <f t="shared" si="30"/>
        <v>No</v>
      </c>
      <c r="BF98" s="62" t="str">
        <f t="shared" si="31"/>
        <v>Renown Health 2024 Master Plan</v>
      </c>
      <c r="BG98" s="62" t="str">
        <f t="shared" si="32"/>
        <v>Dias, Ashley</v>
      </c>
      <c r="BH98" s="62" t="str">
        <f t="shared" si="33"/>
        <v>need to contact</v>
      </c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</row>
    <row r="99" ht="15.75" customHeight="1">
      <c r="A99" s="79"/>
      <c r="B99" s="79">
        <v>147776.0</v>
      </c>
      <c r="C99" s="79" t="s">
        <v>270</v>
      </c>
      <c r="D99" s="134" t="s">
        <v>177</v>
      </c>
      <c r="E99" s="73" t="s">
        <v>74</v>
      </c>
      <c r="F99" s="69" t="s">
        <v>190</v>
      </c>
      <c r="G99" s="69"/>
      <c r="H99" s="69"/>
      <c r="I99" s="69" t="s">
        <v>271</v>
      </c>
      <c r="J99" s="68"/>
      <c r="K99" s="136"/>
      <c r="L99" s="136"/>
      <c r="M99" s="136"/>
      <c r="N99" s="72"/>
      <c r="O99" s="72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4"/>
      <c r="BA99" s="64"/>
      <c r="BB99" s="64"/>
      <c r="BC99" s="140"/>
      <c r="BD99" s="140"/>
      <c r="BE99" s="74" t="str">
        <f t="shared" si="30"/>
        <v>No</v>
      </c>
      <c r="BF99" s="62" t="str">
        <f t="shared" si="31"/>
        <v>BSWI AHU Replacement</v>
      </c>
      <c r="BG99" s="62" t="str">
        <f t="shared" si="32"/>
        <v>Sinnett, Ian</v>
      </c>
      <c r="BH99" s="62" t="str">
        <f t="shared" si="33"/>
        <v>need to contact</v>
      </c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</row>
    <row r="100" ht="15.75" customHeight="1">
      <c r="A100" s="79"/>
      <c r="B100" s="79">
        <v>147777.0</v>
      </c>
      <c r="C100" s="79" t="s">
        <v>272</v>
      </c>
      <c r="D100" s="134" t="s">
        <v>177</v>
      </c>
      <c r="E100" s="73" t="s">
        <v>74</v>
      </c>
      <c r="F100" s="69" t="s">
        <v>190</v>
      </c>
      <c r="G100" s="69"/>
      <c r="H100" s="69"/>
      <c r="I100" s="69" t="s">
        <v>271</v>
      </c>
      <c r="J100" s="68"/>
      <c r="K100" s="136"/>
      <c r="L100" s="136"/>
      <c r="M100" s="136"/>
      <c r="N100" s="72"/>
      <c r="O100" s="72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4"/>
      <c r="BA100" s="64"/>
      <c r="BB100" s="64"/>
      <c r="BC100" s="140"/>
      <c r="BD100" s="140"/>
      <c r="BE100" s="74" t="str">
        <f t="shared" si="30"/>
        <v>No</v>
      </c>
      <c r="BF100" s="62" t="str">
        <f t="shared" si="31"/>
        <v>BSWH Plano - Sterilizer Replacement</v>
      </c>
      <c r="BG100" s="62" t="str">
        <f t="shared" si="32"/>
        <v>Sinnett, Ian</v>
      </c>
      <c r="BH100" s="62" t="str">
        <f t="shared" si="33"/>
        <v>need to contact</v>
      </c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</row>
    <row r="101" ht="15.75" customHeight="1">
      <c r="A101" s="79"/>
      <c r="B101" s="79">
        <v>147782.0</v>
      </c>
      <c r="C101" s="79" t="s">
        <v>273</v>
      </c>
      <c r="D101" s="134" t="s">
        <v>177</v>
      </c>
      <c r="E101" s="73" t="s">
        <v>74</v>
      </c>
      <c r="F101" s="69" t="s">
        <v>190</v>
      </c>
      <c r="G101" s="69"/>
      <c r="H101" s="69"/>
      <c r="I101" s="69" t="s">
        <v>269</v>
      </c>
      <c r="J101" s="68"/>
      <c r="K101" s="136"/>
      <c r="L101" s="136"/>
      <c r="M101" s="136"/>
      <c r="N101" s="72"/>
      <c r="O101" s="72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4"/>
      <c r="BA101" s="64"/>
      <c r="BB101" s="64"/>
      <c r="BC101" s="140"/>
      <c r="BD101" s="140"/>
      <c r="BE101" s="74" t="str">
        <f t="shared" si="30"/>
        <v>No</v>
      </c>
      <c r="BF101" s="62" t="str">
        <f t="shared" si="31"/>
        <v>BSWM Master Plan</v>
      </c>
      <c r="BG101" s="62" t="str">
        <f t="shared" si="32"/>
        <v>Dias, Ashley</v>
      </c>
      <c r="BH101" s="62" t="str">
        <f t="shared" si="33"/>
        <v>need to contact</v>
      </c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</row>
    <row r="102" ht="15.75" customHeight="1">
      <c r="A102" s="79"/>
      <c r="B102" s="79">
        <v>147783.0</v>
      </c>
      <c r="C102" s="79" t="s">
        <v>274</v>
      </c>
      <c r="D102" s="134" t="s">
        <v>177</v>
      </c>
      <c r="E102" s="73" t="s">
        <v>74</v>
      </c>
      <c r="F102" s="69" t="s">
        <v>190</v>
      </c>
      <c r="G102" s="69"/>
      <c r="H102" s="69"/>
      <c r="I102" s="69" t="s">
        <v>271</v>
      </c>
      <c r="J102" s="68"/>
      <c r="K102" s="136"/>
      <c r="L102" s="136"/>
      <c r="M102" s="136"/>
      <c r="N102" s="72"/>
      <c r="O102" s="72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4"/>
      <c r="BA102" s="64"/>
      <c r="BB102" s="64"/>
      <c r="BC102" s="140"/>
      <c r="BD102" s="140"/>
      <c r="BE102" s="74" t="str">
        <f t="shared" si="30"/>
        <v>No</v>
      </c>
      <c r="BF102" s="62" t="str">
        <f t="shared" si="31"/>
        <v>BSWI Rad Room Replacement</v>
      </c>
      <c r="BG102" s="62" t="str">
        <f t="shared" si="32"/>
        <v>Sinnett, Ian</v>
      </c>
      <c r="BH102" s="62" t="str">
        <f t="shared" si="33"/>
        <v>need to contact</v>
      </c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</row>
    <row r="103" ht="15.75" customHeight="1">
      <c r="A103" s="79"/>
      <c r="B103" s="79">
        <v>147787.0</v>
      </c>
      <c r="C103" s="79" t="s">
        <v>275</v>
      </c>
      <c r="D103" s="134" t="s">
        <v>177</v>
      </c>
      <c r="E103" s="73" t="s">
        <v>74</v>
      </c>
      <c r="F103" s="69" t="s">
        <v>276</v>
      </c>
      <c r="G103" s="69"/>
      <c r="H103" s="69"/>
      <c r="I103" s="69" t="s">
        <v>271</v>
      </c>
      <c r="J103" s="68"/>
      <c r="K103" s="136"/>
      <c r="L103" s="136"/>
      <c r="M103" s="136"/>
      <c r="N103" s="72"/>
      <c r="O103" s="72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4"/>
      <c r="BA103" s="64"/>
      <c r="BB103" s="64"/>
      <c r="BC103" s="140"/>
      <c r="BD103" s="140"/>
      <c r="BE103" s="74" t="str">
        <f t="shared" si="30"/>
        <v>No</v>
      </c>
      <c r="BF103" s="62" t="str">
        <f t="shared" si="31"/>
        <v>BSWH Plano - Brain &amp; Spine Suite 800 Ren</v>
      </c>
      <c r="BG103" s="62" t="str">
        <f t="shared" si="32"/>
        <v>Sinnett, Ian</v>
      </c>
      <c r="BH103" s="62" t="str">
        <f t="shared" si="33"/>
        <v>need to contact</v>
      </c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</row>
    <row r="104" ht="15.75" customHeight="1">
      <c r="A104" s="79"/>
      <c r="B104" s="79">
        <v>147793.0</v>
      </c>
      <c r="C104" s="79" t="s">
        <v>277</v>
      </c>
      <c r="D104" s="134" t="s">
        <v>177</v>
      </c>
      <c r="E104" s="73" t="s">
        <v>74</v>
      </c>
      <c r="F104" s="69" t="s">
        <v>190</v>
      </c>
      <c r="G104" s="69"/>
      <c r="H104" s="69"/>
      <c r="I104" s="69" t="s">
        <v>278</v>
      </c>
      <c r="J104" s="68"/>
      <c r="K104" s="136"/>
      <c r="L104" s="136"/>
      <c r="M104" s="136"/>
      <c r="N104" s="72"/>
      <c r="O104" s="72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4"/>
      <c r="BA104" s="64"/>
      <c r="BB104" s="64"/>
      <c r="BC104" s="140"/>
      <c r="BD104" s="140"/>
      <c r="BE104" s="74" t="str">
        <f t="shared" si="30"/>
        <v>No</v>
      </c>
      <c r="BF104" s="62" t="str">
        <f t="shared" si="31"/>
        <v>THCDS Seay Center-Doors</v>
      </c>
      <c r="BG104" s="62" t="str">
        <f t="shared" si="32"/>
        <v>Collins, David</v>
      </c>
      <c r="BH104" s="62" t="str">
        <f t="shared" si="33"/>
        <v>need to contact</v>
      </c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</row>
    <row r="105" ht="15.75" customHeight="1">
      <c r="A105" s="79"/>
      <c r="B105" s="79">
        <v>147794.0</v>
      </c>
      <c r="C105" s="79" t="s">
        <v>279</v>
      </c>
      <c r="D105" s="134" t="s">
        <v>177</v>
      </c>
      <c r="E105" s="73" t="s">
        <v>74</v>
      </c>
      <c r="F105" s="69" t="s">
        <v>280</v>
      </c>
      <c r="G105" s="69"/>
      <c r="H105" s="69"/>
      <c r="I105" s="69" t="s">
        <v>278</v>
      </c>
      <c r="J105" s="68"/>
      <c r="K105" s="136"/>
      <c r="L105" s="136"/>
      <c r="M105" s="136"/>
      <c r="N105" s="72"/>
      <c r="O105" s="72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4"/>
      <c r="BA105" s="64"/>
      <c r="BB105" s="64"/>
      <c r="BC105" s="140"/>
      <c r="BD105" s="140"/>
      <c r="BE105" s="74" t="str">
        <f t="shared" si="30"/>
        <v>No</v>
      </c>
      <c r="BF105" s="62" t="str">
        <f t="shared" si="31"/>
        <v>MHS: Corporate Office POB Study</v>
      </c>
      <c r="BG105" s="62" t="str">
        <f t="shared" si="32"/>
        <v>Collins, David</v>
      </c>
      <c r="BH105" s="62" t="str">
        <f t="shared" si="33"/>
        <v>need to contact</v>
      </c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</row>
    <row r="106" ht="15.75" customHeight="1">
      <c r="A106" s="79"/>
      <c r="B106" s="79">
        <v>147891.0</v>
      </c>
      <c r="C106" s="79" t="s">
        <v>281</v>
      </c>
      <c r="D106" s="134" t="s">
        <v>177</v>
      </c>
      <c r="E106" s="73" t="s">
        <v>74</v>
      </c>
      <c r="F106" s="69"/>
      <c r="G106" s="69"/>
      <c r="H106" s="69"/>
      <c r="I106" s="69" t="s">
        <v>280</v>
      </c>
      <c r="J106" s="68"/>
      <c r="K106" s="136"/>
      <c r="L106" s="136"/>
      <c r="M106" s="136"/>
      <c r="N106" s="72"/>
      <c r="O106" s="72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4"/>
      <c r="BA106" s="64"/>
      <c r="BB106" s="64"/>
      <c r="BC106" s="140"/>
      <c r="BD106" s="140"/>
      <c r="BE106" s="74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</row>
    <row r="107" ht="15.75" customHeight="1">
      <c r="A107" s="79"/>
      <c r="B107" s="79">
        <v>147930.0</v>
      </c>
      <c r="C107" s="79" t="s">
        <v>282</v>
      </c>
      <c r="D107" s="134" t="s">
        <v>177</v>
      </c>
      <c r="E107" s="73" t="s">
        <v>74</v>
      </c>
      <c r="F107" s="69"/>
      <c r="G107" s="69"/>
      <c r="H107" s="69"/>
      <c r="I107" s="69" t="s">
        <v>280</v>
      </c>
      <c r="J107" s="68"/>
      <c r="K107" s="136"/>
      <c r="L107" s="136"/>
      <c r="M107" s="136"/>
      <c r="N107" s="72"/>
      <c r="O107" s="72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4"/>
      <c r="BA107" s="64"/>
      <c r="BB107" s="64"/>
      <c r="BC107" s="140"/>
      <c r="BD107" s="140"/>
      <c r="BE107" s="74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</row>
    <row r="108" ht="15.75" customHeight="1">
      <c r="A108" s="79"/>
      <c r="B108" s="79">
        <v>147905.0</v>
      </c>
      <c r="C108" s="79" t="s">
        <v>283</v>
      </c>
      <c r="D108" s="134" t="s">
        <v>177</v>
      </c>
      <c r="E108" s="73" t="s">
        <v>74</v>
      </c>
      <c r="F108" s="69"/>
      <c r="G108" s="69"/>
      <c r="H108" s="69"/>
      <c r="I108" s="69" t="s">
        <v>280</v>
      </c>
      <c r="J108" s="68"/>
      <c r="K108" s="136"/>
      <c r="L108" s="136"/>
      <c r="M108" s="136"/>
      <c r="N108" s="72"/>
      <c r="O108" s="72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4"/>
      <c r="BA108" s="64"/>
      <c r="BB108" s="64"/>
      <c r="BC108" s="140"/>
      <c r="BD108" s="140"/>
      <c r="BE108" s="74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</row>
    <row r="109" ht="15.75" customHeight="1">
      <c r="A109" s="79"/>
      <c r="B109" s="79">
        <v>147925.0</v>
      </c>
      <c r="C109" s="79" t="s">
        <v>284</v>
      </c>
      <c r="D109" s="134" t="s">
        <v>177</v>
      </c>
      <c r="E109" s="73" t="s">
        <v>74</v>
      </c>
      <c r="F109" s="69"/>
      <c r="G109" s="69"/>
      <c r="H109" s="69"/>
      <c r="I109" s="69" t="s">
        <v>280</v>
      </c>
      <c r="J109" s="68"/>
      <c r="K109" s="136"/>
      <c r="L109" s="136"/>
      <c r="M109" s="136"/>
      <c r="N109" s="72"/>
      <c r="O109" s="72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4"/>
      <c r="BA109" s="64"/>
      <c r="BB109" s="64"/>
      <c r="BC109" s="140"/>
      <c r="BD109" s="140"/>
      <c r="BE109" s="74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</row>
    <row r="110" ht="15.75" customHeight="1">
      <c r="A110" s="79"/>
      <c r="B110" s="79">
        <v>147804.0</v>
      </c>
      <c r="C110" s="79" t="s">
        <v>285</v>
      </c>
      <c r="D110" s="134" t="s">
        <v>177</v>
      </c>
      <c r="E110" s="73" t="s">
        <v>74</v>
      </c>
      <c r="F110" s="69" t="s">
        <v>280</v>
      </c>
      <c r="G110" s="69"/>
      <c r="H110" s="69"/>
      <c r="I110" s="69" t="s">
        <v>280</v>
      </c>
      <c r="J110" s="68"/>
      <c r="K110" s="136"/>
      <c r="L110" s="136"/>
      <c r="M110" s="136"/>
      <c r="N110" s="72"/>
      <c r="O110" s="72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4"/>
      <c r="BA110" s="64"/>
      <c r="BB110" s="64"/>
      <c r="BC110" s="140"/>
      <c r="BD110" s="140"/>
      <c r="BE110" s="74" t="str">
        <f t="shared" ref="BE110:BE113" si="34">IF(O110&gt;60%,"YES","No")</f>
        <v>No</v>
      </c>
      <c r="BF110" s="62" t="str">
        <f t="shared" ref="BF110:BF125" si="35">C110</f>
        <v>MDMC: Schenkel Tower Renovation</v>
      </c>
      <c r="BG110" s="62" t="str">
        <f t="shared" ref="BG110:BG113" si="36">I110</f>
        <v>Roan, Mark</v>
      </c>
      <c r="BH110" s="62" t="str">
        <f t="shared" ref="BH110:BH113" si="37">IF(BA110&gt;65%,"No need to contact","need to contact")</f>
        <v>need to contact</v>
      </c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</row>
    <row r="111" ht="15.75" customHeight="1">
      <c r="A111" s="79"/>
      <c r="B111" s="79">
        <v>147804.001</v>
      </c>
      <c r="C111" s="79" t="s">
        <v>286</v>
      </c>
      <c r="D111" s="134" t="s">
        <v>177</v>
      </c>
      <c r="E111" s="73" t="s">
        <v>74</v>
      </c>
      <c r="F111" s="69" t="s">
        <v>280</v>
      </c>
      <c r="G111" s="69"/>
      <c r="H111" s="69"/>
      <c r="I111" s="69" t="s">
        <v>280</v>
      </c>
      <c r="J111" s="68"/>
      <c r="K111" s="136"/>
      <c r="L111" s="136"/>
      <c r="M111" s="136"/>
      <c r="N111" s="72"/>
      <c r="O111" s="72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4"/>
      <c r="BA111" s="64"/>
      <c r="BB111" s="64"/>
      <c r="BC111" s="140"/>
      <c r="BD111" s="140"/>
      <c r="BE111" s="74" t="str">
        <f t="shared" si="34"/>
        <v>No</v>
      </c>
      <c r="BF111" s="62" t="str">
        <f t="shared" si="35"/>
        <v>7th Floor Schenkel Tower Renovation</v>
      </c>
      <c r="BG111" s="62" t="str">
        <f t="shared" si="36"/>
        <v>Roan, Mark</v>
      </c>
      <c r="BH111" s="62" t="str">
        <f t="shared" si="37"/>
        <v>need to contact</v>
      </c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</row>
    <row r="112" ht="15.75" customHeight="1">
      <c r="A112" s="79"/>
      <c r="B112" s="79">
        <v>147804.002</v>
      </c>
      <c r="C112" s="79" t="s">
        <v>287</v>
      </c>
      <c r="D112" s="134" t="s">
        <v>177</v>
      </c>
      <c r="E112" s="73" t="s">
        <v>74</v>
      </c>
      <c r="F112" s="69" t="s">
        <v>280</v>
      </c>
      <c r="G112" s="69"/>
      <c r="H112" s="69"/>
      <c r="I112" s="69" t="s">
        <v>280</v>
      </c>
      <c r="J112" s="68"/>
      <c r="K112" s="136"/>
      <c r="L112" s="136"/>
      <c r="M112" s="136"/>
      <c r="N112" s="72"/>
      <c r="O112" s="72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4"/>
      <c r="BA112" s="64"/>
      <c r="BB112" s="64"/>
      <c r="BC112" s="140"/>
      <c r="BD112" s="140"/>
      <c r="BE112" s="74" t="str">
        <f t="shared" si="34"/>
        <v>No</v>
      </c>
      <c r="BF112" s="62" t="str">
        <f t="shared" si="35"/>
        <v>8th Floor Schenkel Tower Renovation (2024)</v>
      </c>
      <c r="BG112" s="62" t="str">
        <f t="shared" si="36"/>
        <v>Roan, Mark</v>
      </c>
      <c r="BH112" s="62" t="str">
        <f t="shared" si="37"/>
        <v>need to contact</v>
      </c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</row>
    <row r="113" ht="15.75" customHeight="1">
      <c r="A113" s="79"/>
      <c r="B113" s="79">
        <v>147804.003</v>
      </c>
      <c r="C113" s="79" t="s">
        <v>288</v>
      </c>
      <c r="D113" s="134" t="s">
        <v>177</v>
      </c>
      <c r="E113" s="73" t="s">
        <v>74</v>
      </c>
      <c r="F113" s="69" t="s">
        <v>280</v>
      </c>
      <c r="G113" s="69"/>
      <c r="H113" s="69"/>
      <c r="I113" s="69" t="s">
        <v>280</v>
      </c>
      <c r="J113" s="68"/>
      <c r="K113" s="136"/>
      <c r="L113" s="136"/>
      <c r="M113" s="136"/>
      <c r="N113" s="72"/>
      <c r="O113" s="72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4"/>
      <c r="BA113" s="64"/>
      <c r="BB113" s="64"/>
      <c r="BC113" s="140"/>
      <c r="BD113" s="140"/>
      <c r="BE113" s="74" t="str">
        <f t="shared" si="34"/>
        <v>No</v>
      </c>
      <c r="BF113" s="62" t="str">
        <f t="shared" si="35"/>
        <v>10th Floor Schenkel Tower Renovation (2024)</v>
      </c>
      <c r="BG113" s="62" t="str">
        <f t="shared" si="36"/>
        <v>Roan, Mark</v>
      </c>
      <c r="BH113" s="62" t="str">
        <f t="shared" si="37"/>
        <v>need to contact</v>
      </c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</row>
    <row r="114" ht="15.75" customHeight="1">
      <c r="A114" s="79"/>
      <c r="B114" s="79">
        <v>147926.0</v>
      </c>
      <c r="C114" s="79" t="s">
        <v>289</v>
      </c>
      <c r="D114" s="134" t="s">
        <v>177</v>
      </c>
      <c r="E114" s="73" t="s">
        <v>74</v>
      </c>
      <c r="F114" s="69"/>
      <c r="G114" s="69"/>
      <c r="H114" s="69"/>
      <c r="I114" s="69" t="s">
        <v>280</v>
      </c>
      <c r="J114" s="68"/>
      <c r="K114" s="136"/>
      <c r="L114" s="136"/>
      <c r="M114" s="136"/>
      <c r="N114" s="72"/>
      <c r="O114" s="72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4"/>
      <c r="BA114" s="64"/>
      <c r="BB114" s="64"/>
      <c r="BC114" s="140"/>
      <c r="BD114" s="140"/>
      <c r="BE114" s="74"/>
      <c r="BF114" s="62" t="str">
        <f t="shared" si="35"/>
        <v>MMMC: ED X-Ray Equipment Replacement (small)</v>
      </c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</row>
    <row r="115" ht="15.75" customHeight="1">
      <c r="A115" s="79"/>
      <c r="B115" s="79">
        <v>147892.0</v>
      </c>
      <c r="C115" s="79" t="s">
        <v>290</v>
      </c>
      <c r="D115" s="134" t="s">
        <v>177</v>
      </c>
      <c r="E115" s="73" t="s">
        <v>74</v>
      </c>
      <c r="F115" s="69"/>
      <c r="G115" s="69"/>
      <c r="H115" s="69"/>
      <c r="I115" s="69" t="s">
        <v>280</v>
      </c>
      <c r="J115" s="68"/>
      <c r="K115" s="136"/>
      <c r="L115" s="136"/>
      <c r="M115" s="136"/>
      <c r="N115" s="72"/>
      <c r="O115" s="72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4"/>
      <c r="BA115" s="64"/>
      <c r="BB115" s="64"/>
      <c r="BC115" s="140"/>
      <c r="BD115" s="140"/>
      <c r="BE115" s="74"/>
      <c r="BF115" s="62" t="str">
        <f t="shared" si="35"/>
        <v>MDMC: Outpatient Building Study</v>
      </c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</row>
    <row r="116" ht="15.75" customHeight="1">
      <c r="A116" s="79"/>
      <c r="B116" s="79">
        <v>147738.0</v>
      </c>
      <c r="C116" s="79" t="s">
        <v>291</v>
      </c>
      <c r="D116" s="134" t="s">
        <v>177</v>
      </c>
      <c r="E116" s="73" t="s">
        <v>74</v>
      </c>
      <c r="F116" s="69"/>
      <c r="G116" s="69"/>
      <c r="H116" s="69"/>
      <c r="I116" s="65" t="s">
        <v>208</v>
      </c>
      <c r="J116" s="68"/>
      <c r="K116" s="136"/>
      <c r="L116" s="136"/>
      <c r="M116" s="136"/>
      <c r="N116" s="72"/>
      <c r="O116" s="72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4"/>
      <c r="BA116" s="64"/>
      <c r="BB116" s="64"/>
      <c r="BC116" s="140"/>
      <c r="BD116" s="140"/>
      <c r="BE116" s="74" t="str">
        <f t="shared" ref="BE116:BE125" si="38">IF(O116&gt;60%,"YES","No")</f>
        <v>No</v>
      </c>
      <c r="BF116" s="62" t="str">
        <f t="shared" si="35"/>
        <v>MMMC: SPD Cart Washer</v>
      </c>
      <c r="BG116" s="75" t="str">
        <f t="shared" ref="BG116:BG125" si="39">I116</f>
        <v>Mark Roan</v>
      </c>
      <c r="BH116" s="75" t="str">
        <f t="shared" ref="BH116:BH125" si="40">IF(BA116&gt;65%,"No need to contact","need to contact")</f>
        <v>need to contact</v>
      </c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</row>
    <row r="117" ht="15.75" customHeight="1">
      <c r="A117" s="79"/>
      <c r="B117" s="79">
        <v>147760.0</v>
      </c>
      <c r="C117" s="79" t="s">
        <v>292</v>
      </c>
      <c r="D117" s="134" t="s">
        <v>177</v>
      </c>
      <c r="E117" s="73" t="s">
        <v>74</v>
      </c>
      <c r="F117" s="69"/>
      <c r="G117" s="69"/>
      <c r="H117" s="69"/>
      <c r="I117" s="65" t="s">
        <v>208</v>
      </c>
      <c r="J117" s="68"/>
      <c r="K117" s="136"/>
      <c r="L117" s="136"/>
      <c r="M117" s="136"/>
      <c r="N117" s="72"/>
      <c r="O117" s="72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4"/>
      <c r="BA117" s="64"/>
      <c r="BB117" s="64"/>
      <c r="BC117" s="140"/>
      <c r="BD117" s="140"/>
      <c r="BE117" s="74" t="str">
        <f t="shared" si="38"/>
        <v>No</v>
      </c>
      <c r="BF117" s="62" t="str">
        <f t="shared" si="35"/>
        <v>MMMC: </v>
      </c>
      <c r="BG117" s="75" t="str">
        <f t="shared" si="39"/>
        <v>Mark Roan</v>
      </c>
      <c r="BH117" s="75" t="str">
        <f t="shared" si="40"/>
        <v>need to contact</v>
      </c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</row>
    <row r="118" ht="15.75" customHeight="1">
      <c r="A118" s="79"/>
      <c r="B118" s="79">
        <v>147809.0</v>
      </c>
      <c r="C118" s="79" t="s">
        <v>293</v>
      </c>
      <c r="D118" s="134" t="s">
        <v>177</v>
      </c>
      <c r="E118" s="73" t="s">
        <v>74</v>
      </c>
      <c r="F118" s="69"/>
      <c r="G118" s="68"/>
      <c r="H118" s="69"/>
      <c r="I118" s="65" t="s">
        <v>208</v>
      </c>
      <c r="J118" s="68"/>
      <c r="K118" s="136"/>
      <c r="L118" s="136"/>
      <c r="M118" s="136"/>
      <c r="N118" s="72"/>
      <c r="O118" s="72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4"/>
      <c r="BA118" s="64"/>
      <c r="BB118" s="64"/>
      <c r="BC118" s="140"/>
      <c r="BD118" s="140"/>
      <c r="BE118" s="74" t="str">
        <f t="shared" si="38"/>
        <v>No</v>
      </c>
      <c r="BF118" s="62" t="str">
        <f t="shared" si="35"/>
        <v>MMMC: Fluoro Room1 equip repl</v>
      </c>
      <c r="BG118" s="75" t="str">
        <f t="shared" si="39"/>
        <v>Mark Roan</v>
      </c>
      <c r="BH118" s="75" t="str">
        <f t="shared" si="40"/>
        <v>need to contact</v>
      </c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</row>
    <row r="119" ht="15.75" customHeight="1">
      <c r="A119" s="79"/>
      <c r="B119" s="79">
        <v>147824.0</v>
      </c>
      <c r="C119" s="79" t="s">
        <v>294</v>
      </c>
      <c r="D119" s="134" t="s">
        <v>177</v>
      </c>
      <c r="E119" s="73" t="s">
        <v>74</v>
      </c>
      <c r="F119" s="69"/>
      <c r="G119" s="69"/>
      <c r="H119" s="69"/>
      <c r="I119" s="65" t="s">
        <v>295</v>
      </c>
      <c r="J119" s="68"/>
      <c r="K119" s="136"/>
      <c r="L119" s="136"/>
      <c r="M119" s="136"/>
      <c r="N119" s="72"/>
      <c r="O119" s="72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4"/>
      <c r="BA119" s="64"/>
      <c r="BB119" s="64"/>
      <c r="BC119" s="140"/>
      <c r="BD119" s="140"/>
      <c r="BE119" s="74" t="str">
        <f t="shared" si="38"/>
        <v>No</v>
      </c>
      <c r="BF119" s="62" t="str">
        <f t="shared" si="35"/>
        <v>MMMC: OBGYN OR Rennovation</v>
      </c>
      <c r="BG119" s="62" t="str">
        <f t="shared" si="39"/>
        <v>Mark Roan/Austin Madrigal</v>
      </c>
      <c r="BH119" s="62" t="str">
        <f t="shared" si="40"/>
        <v>need to contact</v>
      </c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</row>
    <row r="120" ht="15.75" customHeight="1">
      <c r="A120" s="79"/>
      <c r="B120" s="79">
        <v>147804.0</v>
      </c>
      <c r="C120" s="79" t="s">
        <v>296</v>
      </c>
      <c r="D120" s="134" t="s">
        <v>177</v>
      </c>
      <c r="E120" s="73" t="s">
        <v>74</v>
      </c>
      <c r="F120" s="69"/>
      <c r="G120" s="69"/>
      <c r="H120" s="69"/>
      <c r="I120" s="65" t="s">
        <v>211</v>
      </c>
      <c r="J120" s="68"/>
      <c r="K120" s="136"/>
      <c r="L120" s="136"/>
      <c r="M120" s="136"/>
      <c r="N120" s="72"/>
      <c r="O120" s="72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4"/>
      <c r="BA120" s="64"/>
      <c r="BB120" s="64"/>
      <c r="BC120" s="140"/>
      <c r="BD120" s="140"/>
      <c r="BE120" s="74" t="str">
        <f t="shared" si="38"/>
        <v>No</v>
      </c>
      <c r="BF120" s="62" t="str">
        <f t="shared" si="35"/>
        <v>MDMC: Sheckel - 2024</v>
      </c>
      <c r="BG120" s="75" t="str">
        <f t="shared" si="39"/>
        <v>Mark Roan/Natali Brennan</v>
      </c>
      <c r="BH120" s="75" t="str">
        <f t="shared" si="40"/>
        <v>need to contact</v>
      </c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</row>
    <row r="121" ht="15.75" customHeight="1">
      <c r="A121" s="79"/>
      <c r="B121" s="79">
        <v>147828.0</v>
      </c>
      <c r="C121" s="79" t="s">
        <v>297</v>
      </c>
      <c r="D121" s="134" t="s">
        <v>177</v>
      </c>
      <c r="E121" s="73" t="s">
        <v>74</v>
      </c>
      <c r="F121" s="69"/>
      <c r="G121" s="74" t="s">
        <v>298</v>
      </c>
      <c r="H121" s="69"/>
      <c r="I121" s="65" t="s">
        <v>208</v>
      </c>
      <c r="J121" s="68"/>
      <c r="K121" s="136"/>
      <c r="L121" s="136"/>
      <c r="M121" s="136"/>
      <c r="N121" s="72"/>
      <c r="O121" s="72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4"/>
      <c r="BA121" s="64"/>
      <c r="BB121" s="64"/>
      <c r="BC121" s="140"/>
      <c r="BD121" s="140"/>
      <c r="BE121" s="74" t="str">
        <f t="shared" si="38"/>
        <v>No</v>
      </c>
      <c r="BF121" s="62" t="str">
        <f t="shared" si="35"/>
        <v>THR: Rockwall MP 2.0</v>
      </c>
      <c r="BG121" s="75" t="str">
        <f t="shared" si="39"/>
        <v>Mark Roan</v>
      </c>
      <c r="BH121" s="75" t="str">
        <f t="shared" si="40"/>
        <v>need to contact</v>
      </c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</row>
    <row r="122" ht="15.75" customHeight="1">
      <c r="A122" s="79"/>
      <c r="B122" s="79">
        <v>147829.0</v>
      </c>
      <c r="C122" s="79" t="s">
        <v>299</v>
      </c>
      <c r="D122" s="134" t="s">
        <v>177</v>
      </c>
      <c r="E122" s="73" t="s">
        <v>74</v>
      </c>
      <c r="F122" s="69"/>
      <c r="G122" s="74" t="s">
        <v>298</v>
      </c>
      <c r="H122" s="69"/>
      <c r="I122" s="65" t="s">
        <v>208</v>
      </c>
      <c r="J122" s="68"/>
      <c r="K122" s="136"/>
      <c r="L122" s="136"/>
      <c r="M122" s="136"/>
      <c r="N122" s="72"/>
      <c r="O122" s="72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4"/>
      <c r="BA122" s="64"/>
      <c r="BB122" s="64"/>
      <c r="BC122" s="140"/>
      <c r="BD122" s="140"/>
      <c r="BE122" s="74" t="str">
        <f t="shared" si="38"/>
        <v>No</v>
      </c>
      <c r="BF122" s="62" t="str">
        <f t="shared" si="35"/>
        <v>Confidential Site Analysis</v>
      </c>
      <c r="BG122" s="75" t="str">
        <f t="shared" si="39"/>
        <v>Mark Roan</v>
      </c>
      <c r="BH122" s="75" t="str">
        <f t="shared" si="40"/>
        <v>need to contact</v>
      </c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</row>
    <row r="123" ht="15.75" customHeight="1">
      <c r="A123" s="79"/>
      <c r="B123" s="79">
        <v>147831.0</v>
      </c>
      <c r="C123" s="79" t="s">
        <v>300</v>
      </c>
      <c r="D123" s="134" t="s">
        <v>177</v>
      </c>
      <c r="E123" s="73" t="s">
        <v>74</v>
      </c>
      <c r="F123" s="69"/>
      <c r="G123" s="74"/>
      <c r="H123" s="69"/>
      <c r="I123" s="65" t="s">
        <v>301</v>
      </c>
      <c r="J123" s="68"/>
      <c r="K123" s="136"/>
      <c r="L123" s="136"/>
      <c r="M123" s="136"/>
      <c r="N123" s="72"/>
      <c r="O123" s="72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4"/>
      <c r="BA123" s="64"/>
      <c r="BB123" s="64"/>
      <c r="BC123" s="140"/>
      <c r="BD123" s="140"/>
      <c r="BE123" s="74" t="str">
        <f t="shared" si="38"/>
        <v>No</v>
      </c>
      <c r="BF123" s="62" t="str">
        <f t="shared" si="35"/>
        <v>THR Rockwall: MRI Equipment Replacement</v>
      </c>
      <c r="BG123" s="75" t="str">
        <f t="shared" si="39"/>
        <v>Natali Brennan</v>
      </c>
      <c r="BH123" s="75" t="str">
        <f t="shared" si="40"/>
        <v>need to contact</v>
      </c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</row>
    <row r="124" ht="15.75" customHeight="1">
      <c r="A124" s="79"/>
      <c r="B124" s="79">
        <v>147842.0</v>
      </c>
      <c r="C124" s="79" t="s">
        <v>302</v>
      </c>
      <c r="D124" s="134" t="s">
        <v>177</v>
      </c>
      <c r="E124" s="73" t="s">
        <v>74</v>
      </c>
      <c r="F124" s="69"/>
      <c r="G124" s="74" t="s">
        <v>298</v>
      </c>
      <c r="H124" s="69"/>
      <c r="I124" s="65" t="s">
        <v>208</v>
      </c>
      <c r="J124" s="68"/>
      <c r="K124" s="136"/>
      <c r="L124" s="136"/>
      <c r="M124" s="136"/>
      <c r="N124" s="72"/>
      <c r="O124" s="72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4"/>
      <c r="BA124" s="64"/>
      <c r="BB124" s="64"/>
      <c r="BC124" s="140"/>
      <c r="BD124" s="140"/>
      <c r="BE124" s="74" t="str">
        <f t="shared" si="38"/>
        <v>No</v>
      </c>
      <c r="BF124" s="62" t="str">
        <f t="shared" si="35"/>
        <v>BSW Lake Pointe: Master Plan</v>
      </c>
      <c r="BG124" s="75" t="str">
        <f t="shared" si="39"/>
        <v>Mark Roan</v>
      </c>
      <c r="BH124" s="75" t="str">
        <f t="shared" si="40"/>
        <v>need to contact</v>
      </c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</row>
    <row r="125" ht="15.75" customHeight="1">
      <c r="A125" s="79"/>
      <c r="B125" s="79">
        <v>147845.0</v>
      </c>
      <c r="C125" s="79" t="s">
        <v>303</v>
      </c>
      <c r="D125" s="134" t="s">
        <v>177</v>
      </c>
      <c r="E125" s="73" t="s">
        <v>74</v>
      </c>
      <c r="F125" s="69"/>
      <c r="G125" s="74"/>
      <c r="H125" s="69"/>
      <c r="I125" s="65" t="s">
        <v>208</v>
      </c>
      <c r="J125" s="68"/>
      <c r="K125" s="136"/>
      <c r="L125" s="136"/>
      <c r="M125" s="136"/>
      <c r="N125" s="72"/>
      <c r="O125" s="72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4"/>
      <c r="BA125" s="64"/>
      <c r="BB125" s="64"/>
      <c r="BC125" s="140"/>
      <c r="BD125" s="140"/>
      <c r="BE125" s="74" t="str">
        <f t="shared" si="38"/>
        <v>No</v>
      </c>
      <c r="BF125" s="62" t="str">
        <f t="shared" si="35"/>
        <v>MRC Equip Rep</v>
      </c>
      <c r="BG125" s="75" t="str">
        <f t="shared" si="39"/>
        <v>Mark Roan</v>
      </c>
      <c r="BH125" s="75" t="str">
        <f t="shared" si="40"/>
        <v>need to contact</v>
      </c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</row>
    <row r="126" ht="15.75" customHeight="1">
      <c r="A126" s="79"/>
      <c r="B126" s="79">
        <v>147381.002</v>
      </c>
      <c r="C126" s="79" t="s">
        <v>304</v>
      </c>
      <c r="D126" s="134" t="s">
        <v>177</v>
      </c>
      <c r="E126" s="73" t="s">
        <v>74</v>
      </c>
      <c r="F126" s="69" t="s">
        <v>280</v>
      </c>
      <c r="G126" s="69"/>
      <c r="H126" s="69"/>
      <c r="I126" s="69" t="s">
        <v>280</v>
      </c>
      <c r="J126" s="68"/>
      <c r="K126" s="136"/>
      <c r="L126" s="136"/>
      <c r="M126" s="136"/>
      <c r="N126" s="72"/>
      <c r="O126" s="72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4"/>
      <c r="BA126" s="64"/>
      <c r="BB126" s="64"/>
      <c r="BC126" s="140"/>
      <c r="BD126" s="140"/>
      <c r="BE126" s="74" t="s">
        <v>110</v>
      </c>
      <c r="BF126" s="62" t="s">
        <v>304</v>
      </c>
      <c r="BG126" s="62" t="s">
        <v>280</v>
      </c>
      <c r="BH126" s="62" t="s">
        <v>206</v>
      </c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</row>
    <row r="127" ht="15.75" customHeight="1">
      <c r="A127" s="79"/>
      <c r="B127" s="79">
        <v>147780.0</v>
      </c>
      <c r="C127" s="79" t="s">
        <v>305</v>
      </c>
      <c r="D127" s="134" t="s">
        <v>177</v>
      </c>
      <c r="E127" s="73" t="s">
        <v>74</v>
      </c>
      <c r="F127" s="69" t="s">
        <v>280</v>
      </c>
      <c r="G127" s="69"/>
      <c r="H127" s="69"/>
      <c r="I127" s="69" t="s">
        <v>280</v>
      </c>
      <c r="J127" s="68"/>
      <c r="K127" s="136"/>
      <c r="L127" s="136"/>
      <c r="M127" s="136"/>
      <c r="N127" s="72"/>
      <c r="O127" s="72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4"/>
      <c r="BA127" s="64"/>
      <c r="BB127" s="64"/>
      <c r="BC127" s="140"/>
      <c r="BD127" s="140"/>
      <c r="BE127" s="74" t="s">
        <v>110</v>
      </c>
      <c r="BF127" s="62" t="s">
        <v>305</v>
      </c>
      <c r="BG127" s="62" t="s">
        <v>280</v>
      </c>
      <c r="BH127" s="62" t="s">
        <v>206</v>
      </c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</row>
    <row r="128" ht="15.75" customHeight="1">
      <c r="A128" s="79"/>
      <c r="B128" s="79">
        <v>147780.0</v>
      </c>
      <c r="C128" s="79" t="s">
        <v>305</v>
      </c>
      <c r="D128" s="134" t="s">
        <v>177</v>
      </c>
      <c r="E128" s="73" t="s">
        <v>74</v>
      </c>
      <c r="F128" s="69" t="s">
        <v>280</v>
      </c>
      <c r="G128" s="69"/>
      <c r="H128" s="69"/>
      <c r="I128" s="69" t="s">
        <v>280</v>
      </c>
      <c r="J128" s="68"/>
      <c r="K128" s="136"/>
      <c r="L128" s="136"/>
      <c r="M128" s="136"/>
      <c r="N128" s="72"/>
      <c r="O128" s="72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4"/>
      <c r="BA128" s="64"/>
      <c r="BB128" s="64"/>
      <c r="BC128" s="140"/>
      <c r="BD128" s="140"/>
      <c r="BE128" s="74" t="str">
        <f t="shared" ref="BE128:BE131" si="41">IF(O128&gt;60%,"YES","No")</f>
        <v>No</v>
      </c>
      <c r="BF128" s="62" t="str">
        <f t="shared" ref="BF128:BF131" si="42">C128</f>
        <v>MDMC: Heart Center Study</v>
      </c>
      <c r="BG128" s="62" t="str">
        <f t="shared" ref="BG128:BG131" si="43">I128</f>
        <v>Roan, Mark</v>
      </c>
      <c r="BH128" s="62" t="str">
        <f t="shared" ref="BH128:BH131" si="44">IF(BA128&gt;65%,"No need to contact","need to contact")</f>
        <v>need to contact</v>
      </c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</row>
    <row r="129" ht="15.75" customHeight="1">
      <c r="A129" s="79"/>
      <c r="B129" s="79">
        <v>147809.0</v>
      </c>
      <c r="C129" s="79" t="s">
        <v>306</v>
      </c>
      <c r="D129" s="134" t="s">
        <v>177</v>
      </c>
      <c r="E129" s="73" t="s">
        <v>74</v>
      </c>
      <c r="F129" s="69" t="s">
        <v>280</v>
      </c>
      <c r="G129" s="69"/>
      <c r="H129" s="69"/>
      <c r="I129" s="69" t="s">
        <v>280</v>
      </c>
      <c r="J129" s="68"/>
      <c r="K129" s="136"/>
      <c r="L129" s="136"/>
      <c r="M129" s="136"/>
      <c r="N129" s="72"/>
      <c r="O129" s="72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4"/>
      <c r="BA129" s="64"/>
      <c r="BB129" s="64"/>
      <c r="BC129" s="140"/>
      <c r="BD129" s="140"/>
      <c r="BE129" s="74" t="str">
        <f t="shared" si="41"/>
        <v>No</v>
      </c>
      <c r="BF129" s="62" t="str">
        <f t="shared" si="42"/>
        <v>MMMC:Fluoro Room 1 Equipment Replacement</v>
      </c>
      <c r="BG129" s="62" t="str">
        <f t="shared" si="43"/>
        <v>Roan, Mark</v>
      </c>
      <c r="BH129" s="62" t="str">
        <f t="shared" si="44"/>
        <v>need to contact</v>
      </c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</row>
    <row r="130" ht="15.75" customHeight="1">
      <c r="A130" s="79"/>
      <c r="B130" s="79">
        <v>147828.0</v>
      </c>
      <c r="C130" s="79" t="s">
        <v>297</v>
      </c>
      <c r="D130" s="134" t="s">
        <v>177</v>
      </c>
      <c r="E130" s="73" t="s">
        <v>74</v>
      </c>
      <c r="F130" s="69" t="s">
        <v>280</v>
      </c>
      <c r="G130" s="69"/>
      <c r="H130" s="69"/>
      <c r="I130" s="69" t="s">
        <v>280</v>
      </c>
      <c r="J130" s="68"/>
      <c r="K130" s="136"/>
      <c r="L130" s="136"/>
      <c r="M130" s="136"/>
      <c r="N130" s="72"/>
      <c r="O130" s="72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4"/>
      <c r="BA130" s="64"/>
      <c r="BB130" s="64"/>
      <c r="BC130" s="140"/>
      <c r="BD130" s="140"/>
      <c r="BE130" s="74" t="str">
        <f t="shared" si="41"/>
        <v>No</v>
      </c>
      <c r="BF130" s="62" t="str">
        <f t="shared" si="42"/>
        <v>THR: Rockwall MP 2.0</v>
      </c>
      <c r="BG130" s="75" t="str">
        <f t="shared" si="43"/>
        <v>Roan, Mark</v>
      </c>
      <c r="BH130" s="75" t="str">
        <f t="shared" si="44"/>
        <v>need to contact</v>
      </c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</row>
    <row r="131" ht="15.75" customHeight="1">
      <c r="A131" s="79"/>
      <c r="B131" s="79">
        <v>147829.0</v>
      </c>
      <c r="C131" s="79" t="s">
        <v>307</v>
      </c>
      <c r="D131" s="134" t="s">
        <v>177</v>
      </c>
      <c r="E131" s="73" t="s">
        <v>74</v>
      </c>
      <c r="F131" s="69" t="s">
        <v>280</v>
      </c>
      <c r="G131" s="69"/>
      <c r="H131" s="69"/>
      <c r="I131" s="69" t="s">
        <v>280</v>
      </c>
      <c r="J131" s="68"/>
      <c r="K131" s="136"/>
      <c r="L131" s="136"/>
      <c r="M131" s="136"/>
      <c r="N131" s="72"/>
      <c r="O131" s="72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4"/>
      <c r="BA131" s="64"/>
      <c r="BB131" s="64"/>
      <c r="BC131" s="140"/>
      <c r="BD131" s="140"/>
      <c r="BE131" s="74" t="str">
        <f t="shared" si="41"/>
        <v>No</v>
      </c>
      <c r="BF131" s="62" t="str">
        <f t="shared" si="42"/>
        <v>Confidential Hospital Site Analysis</v>
      </c>
      <c r="BG131" s="75" t="str">
        <f t="shared" si="43"/>
        <v>Roan, Mark</v>
      </c>
      <c r="BH131" s="75" t="str">
        <f t="shared" si="44"/>
        <v>need to contact</v>
      </c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</row>
    <row r="132" ht="15.0" customHeight="1">
      <c r="A132" s="62"/>
      <c r="B132" s="79">
        <v>147854.0</v>
      </c>
      <c r="C132" s="62" t="s">
        <v>308</v>
      </c>
      <c r="D132" s="134" t="s">
        <v>177</v>
      </c>
      <c r="E132" s="73" t="s">
        <v>74</v>
      </c>
      <c r="F132" s="62"/>
      <c r="G132" s="62"/>
      <c r="H132" s="62"/>
      <c r="I132" s="65" t="s">
        <v>208</v>
      </c>
      <c r="J132" s="62"/>
      <c r="K132" s="62"/>
      <c r="L132" s="62"/>
      <c r="M132" s="62"/>
      <c r="N132" s="62"/>
      <c r="O132" s="72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2"/>
      <c r="BA132" s="62"/>
      <c r="BB132" s="62"/>
      <c r="BC132" s="78"/>
      <c r="BD132" s="78"/>
      <c r="BE132" s="74" t="s">
        <v>110</v>
      </c>
      <c r="BF132" s="62"/>
      <c r="BG132" s="75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</row>
    <row r="133" ht="15.0" customHeight="1">
      <c r="A133" s="62"/>
      <c r="B133" s="83">
        <v>147825.0</v>
      </c>
      <c r="C133" s="62" t="s">
        <v>309</v>
      </c>
      <c r="D133" s="134" t="s">
        <v>177</v>
      </c>
      <c r="E133" s="73" t="s">
        <v>74</v>
      </c>
      <c r="F133" s="62"/>
      <c r="G133" s="64"/>
      <c r="H133" s="62"/>
      <c r="I133" s="65" t="s">
        <v>208</v>
      </c>
      <c r="J133" s="62"/>
      <c r="K133" s="62"/>
      <c r="L133" s="62"/>
      <c r="M133" s="62"/>
      <c r="N133" s="62"/>
      <c r="O133" s="72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2"/>
      <c r="BA133" s="62"/>
      <c r="BB133" s="62"/>
      <c r="BC133" s="78"/>
      <c r="BD133" s="78"/>
      <c r="BE133" s="74" t="s">
        <v>110</v>
      </c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</row>
    <row r="134" ht="15.0" customHeight="1">
      <c r="A134" s="62"/>
      <c r="B134" s="83">
        <v>147857.0</v>
      </c>
      <c r="C134" s="62" t="s">
        <v>310</v>
      </c>
      <c r="D134" s="134" t="s">
        <v>177</v>
      </c>
      <c r="E134" s="73" t="s">
        <v>74</v>
      </c>
      <c r="F134" s="62"/>
      <c r="G134" s="64"/>
      <c r="H134" s="62"/>
      <c r="I134" s="65" t="s">
        <v>208</v>
      </c>
      <c r="J134" s="62"/>
      <c r="K134" s="62"/>
      <c r="L134" s="62"/>
      <c r="M134" s="62"/>
      <c r="N134" s="62"/>
      <c r="O134" s="72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2"/>
      <c r="BA134" s="62"/>
      <c r="BB134" s="62"/>
      <c r="BC134" s="78"/>
      <c r="BD134" s="78"/>
      <c r="BE134" s="74" t="str">
        <f>IF(O134&gt;60%,"YES","No")</f>
        <v>No</v>
      </c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</row>
    <row r="135" ht="15.0" customHeight="1">
      <c r="A135" s="62"/>
      <c r="B135" s="83">
        <v>147872.0</v>
      </c>
      <c r="C135" s="62" t="s">
        <v>311</v>
      </c>
      <c r="D135" s="134" t="s">
        <v>177</v>
      </c>
      <c r="E135" s="73" t="s">
        <v>74</v>
      </c>
      <c r="F135" s="62"/>
      <c r="G135" s="64"/>
      <c r="H135" s="62"/>
      <c r="I135" s="65" t="s">
        <v>208</v>
      </c>
      <c r="J135" s="62"/>
      <c r="K135" s="62"/>
      <c r="L135" s="62"/>
      <c r="M135" s="62"/>
      <c r="N135" s="62"/>
      <c r="O135" s="72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2"/>
      <c r="BA135" s="62"/>
      <c r="BB135" s="62"/>
      <c r="BC135" s="78"/>
      <c r="BD135" s="78"/>
      <c r="BE135" s="74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</row>
    <row r="136" ht="15.0" customHeight="1">
      <c r="A136" s="62"/>
      <c r="B136" s="83">
        <v>147735.0</v>
      </c>
      <c r="C136" s="62" t="s">
        <v>312</v>
      </c>
      <c r="D136" s="134" t="s">
        <v>177</v>
      </c>
      <c r="E136" s="73" t="s">
        <v>74</v>
      </c>
      <c r="F136" s="62"/>
      <c r="G136" s="64"/>
      <c r="H136" s="62"/>
      <c r="I136" s="65" t="s">
        <v>208</v>
      </c>
      <c r="J136" s="62"/>
      <c r="K136" s="62"/>
      <c r="L136" s="62"/>
      <c r="M136" s="62"/>
      <c r="N136" s="62"/>
      <c r="O136" s="72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2"/>
      <c r="BA136" s="62"/>
      <c r="BB136" s="62"/>
      <c r="BC136" s="78"/>
      <c r="BD136" s="78"/>
      <c r="BE136" s="74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</row>
    <row r="137" ht="15.75" customHeight="1">
      <c r="A137" s="79"/>
      <c r="B137" s="79">
        <v>147812.0</v>
      </c>
      <c r="C137" s="79" t="s">
        <v>313</v>
      </c>
      <c r="D137" s="134" t="s">
        <v>177</v>
      </c>
      <c r="E137" s="73" t="s">
        <v>74</v>
      </c>
      <c r="F137" s="69" t="s">
        <v>190</v>
      </c>
      <c r="G137" s="69"/>
      <c r="H137" s="69"/>
      <c r="I137" s="69" t="s">
        <v>278</v>
      </c>
      <c r="J137" s="68"/>
      <c r="K137" s="136"/>
      <c r="L137" s="136"/>
      <c r="M137" s="136"/>
      <c r="N137" s="72"/>
      <c r="O137" s="72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4"/>
      <c r="BA137" s="64"/>
      <c r="BB137" s="64"/>
      <c r="BC137" s="140"/>
      <c r="BD137" s="140"/>
      <c r="BE137" s="74" t="str">
        <f t="shared" ref="BE137:BE156" si="45">IF(O137&gt;60%,"YES","No")</f>
        <v>No</v>
      </c>
      <c r="BF137" s="62" t="str">
        <f t="shared" ref="BF137:BF150" si="46">C137</f>
        <v>THA R&amp;F Renovation</v>
      </c>
      <c r="BG137" s="62" t="str">
        <f t="shared" ref="BG137:BG150" si="47">I137</f>
        <v>Collins, David</v>
      </c>
      <c r="BH137" s="62" t="str">
        <f t="shared" ref="BH137:BH150" si="48">IF(BA137&gt;65%,"No need to contact","need to contact")</f>
        <v>need to contact</v>
      </c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</row>
    <row r="138" ht="15.75" customHeight="1">
      <c r="A138" s="79"/>
      <c r="B138" s="79">
        <v>147813.0</v>
      </c>
      <c r="C138" s="79" t="s">
        <v>314</v>
      </c>
      <c r="D138" s="134" t="s">
        <v>177</v>
      </c>
      <c r="E138" s="73" t="s">
        <v>74</v>
      </c>
      <c r="F138" s="69" t="s">
        <v>190</v>
      </c>
      <c r="G138" s="69"/>
      <c r="H138" s="69"/>
      <c r="I138" s="69" t="s">
        <v>278</v>
      </c>
      <c r="J138" s="68"/>
      <c r="K138" s="136"/>
      <c r="L138" s="136"/>
      <c r="M138" s="136"/>
      <c r="N138" s="72"/>
      <c r="O138" s="72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4"/>
      <c r="BA138" s="64"/>
      <c r="BB138" s="64"/>
      <c r="BC138" s="140"/>
      <c r="BD138" s="140"/>
      <c r="BE138" s="74" t="str">
        <f t="shared" si="45"/>
        <v>No</v>
      </c>
      <c r="BF138" s="62" t="str">
        <f t="shared" si="46"/>
        <v>THP OR Integration</v>
      </c>
      <c r="BG138" s="62" t="str">
        <f t="shared" si="47"/>
        <v>Collins, David</v>
      </c>
      <c r="BH138" s="62" t="str">
        <f t="shared" si="48"/>
        <v>need to contact</v>
      </c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</row>
    <row r="139" ht="15.75" customHeight="1">
      <c r="A139" s="79"/>
      <c r="B139" s="79">
        <v>147816.0</v>
      </c>
      <c r="C139" s="79" t="s">
        <v>315</v>
      </c>
      <c r="D139" s="134" t="s">
        <v>177</v>
      </c>
      <c r="E139" s="73" t="s">
        <v>74</v>
      </c>
      <c r="F139" s="69" t="s">
        <v>190</v>
      </c>
      <c r="G139" s="69"/>
      <c r="H139" s="69"/>
      <c r="I139" s="69" t="s">
        <v>271</v>
      </c>
      <c r="J139" s="68"/>
      <c r="K139" s="136"/>
      <c r="L139" s="136"/>
      <c r="M139" s="136"/>
      <c r="N139" s="72"/>
      <c r="O139" s="72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4"/>
      <c r="BA139" s="64"/>
      <c r="BB139" s="64"/>
      <c r="BC139" s="140"/>
      <c r="BD139" s="140"/>
      <c r="BE139" s="74" t="str">
        <f t="shared" si="45"/>
        <v>No</v>
      </c>
      <c r="BF139" s="62" t="str">
        <f t="shared" si="46"/>
        <v>BUMC Retail Pharmacy Remodel</v>
      </c>
      <c r="BG139" s="62" t="str">
        <f t="shared" si="47"/>
        <v>Sinnett, Ian</v>
      </c>
      <c r="BH139" s="62" t="str">
        <f t="shared" si="48"/>
        <v>need to contact</v>
      </c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</row>
    <row r="140" ht="15.75" customHeight="1">
      <c r="A140" s="79"/>
      <c r="B140" s="79">
        <v>147826.0</v>
      </c>
      <c r="C140" s="79" t="s">
        <v>212</v>
      </c>
      <c r="D140" s="134" t="s">
        <v>177</v>
      </c>
      <c r="E140" s="73" t="s">
        <v>74</v>
      </c>
      <c r="F140" s="69" t="s">
        <v>280</v>
      </c>
      <c r="G140" s="69"/>
      <c r="H140" s="69"/>
      <c r="I140" s="69" t="s">
        <v>278</v>
      </c>
      <c r="J140" s="68"/>
      <c r="K140" s="136"/>
      <c r="L140" s="136"/>
      <c r="M140" s="136"/>
      <c r="N140" s="72"/>
      <c r="O140" s="72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4"/>
      <c r="BA140" s="64"/>
      <c r="BB140" s="64"/>
      <c r="BC140" s="140"/>
      <c r="BD140" s="140"/>
      <c r="BE140" s="74" t="str">
        <f t="shared" si="45"/>
        <v>No</v>
      </c>
      <c r="BF140" s="62" t="str">
        <f t="shared" si="46"/>
        <v>MDMC: NICU Renovation</v>
      </c>
      <c r="BG140" s="75" t="str">
        <f t="shared" si="47"/>
        <v>Collins, David</v>
      </c>
      <c r="BH140" s="75" t="str">
        <f t="shared" si="48"/>
        <v>need to contact</v>
      </c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</row>
    <row r="141" ht="15.75" customHeight="1">
      <c r="A141" s="79"/>
      <c r="B141" s="79">
        <v>147827.0</v>
      </c>
      <c r="C141" s="79" t="s">
        <v>316</v>
      </c>
      <c r="D141" s="134" t="s">
        <v>177</v>
      </c>
      <c r="E141" s="73" t="s">
        <v>74</v>
      </c>
      <c r="F141" s="69" t="s">
        <v>190</v>
      </c>
      <c r="G141" s="69"/>
      <c r="H141" s="69"/>
      <c r="I141" s="69" t="s">
        <v>278</v>
      </c>
      <c r="J141" s="68"/>
      <c r="K141" s="136"/>
      <c r="L141" s="136"/>
      <c r="M141" s="136"/>
      <c r="N141" s="72"/>
      <c r="O141" s="72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4"/>
      <c r="BA141" s="64"/>
      <c r="BB141" s="64"/>
      <c r="BC141" s="140"/>
      <c r="BD141" s="140"/>
      <c r="BE141" s="74" t="str">
        <f t="shared" si="45"/>
        <v>No</v>
      </c>
      <c r="BF141" s="62" t="str">
        <f t="shared" si="46"/>
        <v>THCDS Plano - AHU Replacement - 500 sf</v>
      </c>
      <c r="BG141" s="75" t="str">
        <f t="shared" si="47"/>
        <v>Collins, David</v>
      </c>
      <c r="BH141" s="75" t="str">
        <f t="shared" si="48"/>
        <v>need to contact</v>
      </c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</row>
    <row r="142" ht="15.75" customHeight="1">
      <c r="A142" s="79"/>
      <c r="B142" s="79">
        <v>148102.005</v>
      </c>
      <c r="C142" s="79" t="s">
        <v>317</v>
      </c>
      <c r="D142" s="134" t="s">
        <v>177</v>
      </c>
      <c r="E142" s="73" t="s">
        <v>74</v>
      </c>
      <c r="F142" s="69" t="s">
        <v>318</v>
      </c>
      <c r="G142" s="69"/>
      <c r="H142" s="69"/>
      <c r="I142" s="69" t="s">
        <v>319</v>
      </c>
      <c r="J142" s="68"/>
      <c r="K142" s="136"/>
      <c r="L142" s="136"/>
      <c r="M142" s="136"/>
      <c r="N142" s="72"/>
      <c r="O142" s="72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4"/>
      <c r="BA142" s="64"/>
      <c r="BB142" s="64"/>
      <c r="BC142" s="140"/>
      <c r="BD142" s="140"/>
      <c r="BE142" s="74" t="str">
        <f t="shared" si="45"/>
        <v>No</v>
      </c>
      <c r="BF142" s="62" t="str">
        <f t="shared" si="46"/>
        <v>Henry Co. Proprietary Specifications</v>
      </c>
      <c r="BG142" s="75" t="str">
        <f t="shared" si="47"/>
        <v>Jordan, Holly</v>
      </c>
      <c r="BH142" s="75" t="str">
        <f t="shared" si="48"/>
        <v>need to contact</v>
      </c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</row>
    <row r="143" ht="15.75" customHeight="1">
      <c r="A143" s="79"/>
      <c r="B143" s="79">
        <v>148107.0</v>
      </c>
      <c r="C143" s="79" t="s">
        <v>320</v>
      </c>
      <c r="D143" s="134" t="s">
        <v>177</v>
      </c>
      <c r="E143" s="73" t="s">
        <v>74</v>
      </c>
      <c r="F143" s="69" t="s">
        <v>318</v>
      </c>
      <c r="G143" s="69"/>
      <c r="H143" s="69"/>
      <c r="I143" s="69" t="s">
        <v>319</v>
      </c>
      <c r="J143" s="68"/>
      <c r="K143" s="136"/>
      <c r="L143" s="136"/>
      <c r="M143" s="136"/>
      <c r="N143" s="72"/>
      <c r="O143" s="72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4"/>
      <c r="BA143" s="64"/>
      <c r="BB143" s="64"/>
      <c r="BC143" s="140"/>
      <c r="BD143" s="140"/>
      <c r="BE143" s="74" t="str">
        <f t="shared" si="45"/>
        <v>No</v>
      </c>
      <c r="BF143" s="62" t="str">
        <f t="shared" si="46"/>
        <v>Amanvari Master Specifications</v>
      </c>
      <c r="BG143" s="75" t="str">
        <f t="shared" si="47"/>
        <v>Jordan, Holly</v>
      </c>
      <c r="BH143" s="75" t="str">
        <f t="shared" si="48"/>
        <v>need to contact</v>
      </c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</row>
    <row r="144" ht="15.75" customHeight="1">
      <c r="A144" s="79"/>
      <c r="B144" s="79">
        <v>148108.0</v>
      </c>
      <c r="C144" s="79" t="s">
        <v>321</v>
      </c>
      <c r="D144" s="134" t="s">
        <v>177</v>
      </c>
      <c r="E144" s="73" t="s">
        <v>74</v>
      </c>
      <c r="F144" s="69" t="s">
        <v>322</v>
      </c>
      <c r="G144" s="69"/>
      <c r="H144" s="69"/>
      <c r="I144" s="69" t="s">
        <v>322</v>
      </c>
      <c r="J144" s="68"/>
      <c r="K144" s="136"/>
      <c r="L144" s="136"/>
      <c r="M144" s="136"/>
      <c r="N144" s="72"/>
      <c r="O144" s="72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4"/>
      <c r="BA144" s="64"/>
      <c r="BB144" s="64"/>
      <c r="BC144" s="140"/>
      <c r="BD144" s="140"/>
      <c r="BE144" s="74" t="str">
        <f t="shared" si="45"/>
        <v>No</v>
      </c>
      <c r="BF144" s="62" t="str">
        <f t="shared" si="46"/>
        <v>ALEXANDRIA NY- ASCENT LABS &amp; ARE OFFICE</v>
      </c>
      <c r="BG144" s="75" t="str">
        <f t="shared" si="47"/>
        <v>Wicker, Sarah</v>
      </c>
      <c r="BH144" s="75" t="str">
        <f t="shared" si="48"/>
        <v>need to contact</v>
      </c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</row>
    <row r="145" ht="15.75" customHeight="1">
      <c r="A145" s="79"/>
      <c r="B145" s="79" t="s">
        <v>323</v>
      </c>
      <c r="C145" s="79" t="s">
        <v>324</v>
      </c>
      <c r="D145" s="134" t="s">
        <v>177</v>
      </c>
      <c r="E145" s="73" t="s">
        <v>74</v>
      </c>
      <c r="F145" s="69" t="s">
        <v>325</v>
      </c>
      <c r="G145" s="69"/>
      <c r="H145" s="69"/>
      <c r="I145" s="69" t="s">
        <v>325</v>
      </c>
      <c r="J145" s="68"/>
      <c r="K145" s="136"/>
      <c r="L145" s="136"/>
      <c r="M145" s="136"/>
      <c r="N145" s="72"/>
      <c r="O145" s="72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4"/>
      <c r="BA145" s="64"/>
      <c r="BB145" s="64"/>
      <c r="BC145" s="140"/>
      <c r="BD145" s="140"/>
      <c r="BE145" s="74" t="str">
        <f t="shared" si="45"/>
        <v>No</v>
      </c>
      <c r="BF145" s="62" t="str">
        <f t="shared" si="46"/>
        <v>Methodist Hospital S&amp;T Renovation</v>
      </c>
      <c r="BG145" s="75" t="str">
        <f t="shared" si="47"/>
        <v>Cantu, Omar</v>
      </c>
      <c r="BH145" s="75" t="str">
        <f t="shared" si="48"/>
        <v>need to contact</v>
      </c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</row>
    <row r="146" ht="15.75" customHeight="1">
      <c r="A146" s="79"/>
      <c r="B146" s="79" t="s">
        <v>326</v>
      </c>
      <c r="C146" s="79" t="s">
        <v>327</v>
      </c>
      <c r="D146" s="134" t="s">
        <v>177</v>
      </c>
      <c r="E146" s="73" t="s">
        <v>74</v>
      </c>
      <c r="F146" s="69" t="s">
        <v>266</v>
      </c>
      <c r="G146" s="69"/>
      <c r="H146" s="69"/>
      <c r="I146" s="69" t="s">
        <v>325</v>
      </c>
      <c r="J146" s="68"/>
      <c r="K146" s="136"/>
      <c r="L146" s="136"/>
      <c r="M146" s="136"/>
      <c r="N146" s="72"/>
      <c r="O146" s="72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4"/>
      <c r="BA146" s="64"/>
      <c r="BB146" s="64"/>
      <c r="BC146" s="140"/>
      <c r="BD146" s="140"/>
      <c r="BE146" s="74" t="str">
        <f t="shared" si="45"/>
        <v>No</v>
      </c>
      <c r="BF146" s="62" t="str">
        <f t="shared" si="46"/>
        <v>Methodist Hospital S&amp;T Reno CA Hourly</v>
      </c>
      <c r="BG146" s="75" t="str">
        <f t="shared" si="47"/>
        <v>Cantu, Omar</v>
      </c>
      <c r="BH146" s="75" t="str">
        <f t="shared" si="48"/>
        <v>need to contact</v>
      </c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</row>
    <row r="147" ht="15.75" customHeight="1">
      <c r="A147" s="79"/>
      <c r="B147" s="79">
        <v>182181.009</v>
      </c>
      <c r="C147" s="79" t="s">
        <v>328</v>
      </c>
      <c r="D147" s="134" t="s">
        <v>177</v>
      </c>
      <c r="E147" s="73" t="s">
        <v>74</v>
      </c>
      <c r="F147" s="69" t="s">
        <v>194</v>
      </c>
      <c r="G147" s="69"/>
      <c r="H147" s="69"/>
      <c r="I147" s="69" t="s">
        <v>329</v>
      </c>
      <c r="J147" s="68"/>
      <c r="K147" s="136"/>
      <c r="L147" s="136"/>
      <c r="M147" s="136"/>
      <c r="N147" s="72"/>
      <c r="O147" s="72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4"/>
      <c r="BA147" s="64"/>
      <c r="BB147" s="64"/>
      <c r="BC147" s="140"/>
      <c r="BD147" s="140"/>
      <c r="BE147" s="74" t="str">
        <f t="shared" si="45"/>
        <v>No</v>
      </c>
      <c r="BF147" s="62" t="str">
        <f t="shared" si="46"/>
        <v>Renown South Meadows-Contract Extension</v>
      </c>
      <c r="BG147" s="75" t="str">
        <f t="shared" si="47"/>
        <v>Reisenbichler, Thomas</v>
      </c>
      <c r="BH147" s="75" t="str">
        <f t="shared" si="48"/>
        <v>need to contact</v>
      </c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</row>
    <row r="148" ht="15.75" customHeight="1">
      <c r="A148" s="79"/>
      <c r="B148" s="79">
        <v>147839.0</v>
      </c>
      <c r="C148" s="79" t="s">
        <v>330</v>
      </c>
      <c r="D148" s="134" t="s">
        <v>177</v>
      </c>
      <c r="E148" s="73" t="s">
        <v>74</v>
      </c>
      <c r="F148" s="69"/>
      <c r="G148" s="69"/>
      <c r="H148" s="69"/>
      <c r="I148" s="69" t="s">
        <v>188</v>
      </c>
      <c r="J148" s="68"/>
      <c r="K148" s="136"/>
      <c r="L148" s="136"/>
      <c r="M148" s="136"/>
      <c r="N148" s="72"/>
      <c r="O148" s="72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4"/>
      <c r="BA148" s="64"/>
      <c r="BB148" s="64"/>
      <c r="BC148" s="140"/>
      <c r="BD148" s="140"/>
      <c r="BE148" s="74" t="str">
        <f t="shared" si="45"/>
        <v>No</v>
      </c>
      <c r="BF148" s="62" t="str">
        <f t="shared" si="46"/>
        <v>BSWH Plano MP Updates - Master Plan</v>
      </c>
      <c r="BG148" s="75" t="str">
        <f t="shared" si="47"/>
        <v>Wes Bowen</v>
      </c>
      <c r="BH148" s="75" t="str">
        <f t="shared" si="48"/>
        <v>need to contact</v>
      </c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</row>
    <row r="149" ht="15.75" customHeight="1">
      <c r="A149" s="79"/>
      <c r="B149" s="79">
        <v>147850.0</v>
      </c>
      <c r="C149" s="79" t="s">
        <v>331</v>
      </c>
      <c r="D149" s="134" t="s">
        <v>177</v>
      </c>
      <c r="E149" s="73" t="s">
        <v>74</v>
      </c>
      <c r="F149" s="69"/>
      <c r="G149" s="69"/>
      <c r="H149" s="69"/>
      <c r="I149" s="65" t="s">
        <v>238</v>
      </c>
      <c r="J149" s="68"/>
      <c r="K149" s="136"/>
      <c r="L149" s="136"/>
      <c r="M149" s="136"/>
      <c r="N149" s="72"/>
      <c r="O149" s="72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4"/>
      <c r="BA149" s="64"/>
      <c r="BB149" s="64"/>
      <c r="BC149" s="140"/>
      <c r="BD149" s="140"/>
      <c r="BE149" s="74" t="str">
        <f t="shared" si="45"/>
        <v>No</v>
      </c>
      <c r="BF149" s="62" t="str">
        <f t="shared" si="46"/>
        <v>Wildwood FEMC</v>
      </c>
      <c r="BG149" s="75" t="str">
        <f t="shared" si="47"/>
        <v>Cory Griffin</v>
      </c>
      <c r="BH149" s="75" t="str">
        <f t="shared" si="48"/>
        <v>need to contact</v>
      </c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</row>
    <row r="150" ht="15.75" customHeight="1">
      <c r="A150" s="79"/>
      <c r="B150" s="79">
        <v>147805.0</v>
      </c>
      <c r="C150" s="79" t="s">
        <v>332</v>
      </c>
      <c r="D150" s="134" t="s">
        <v>177</v>
      </c>
      <c r="E150" s="73" t="s">
        <v>74</v>
      </c>
      <c r="F150" s="69" t="s">
        <v>329</v>
      </c>
      <c r="G150" s="69"/>
      <c r="H150" s="69"/>
      <c r="I150" s="69" t="s">
        <v>333</v>
      </c>
      <c r="J150" s="68"/>
      <c r="K150" s="136"/>
      <c r="L150" s="136"/>
      <c r="M150" s="136"/>
      <c r="N150" s="72"/>
      <c r="O150" s="72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4"/>
      <c r="BA150" s="64"/>
      <c r="BB150" s="64"/>
      <c r="BC150" s="140"/>
      <c r="BD150" s="140"/>
      <c r="BE150" s="74" t="str">
        <f t="shared" si="45"/>
        <v>No</v>
      </c>
      <c r="BF150" s="62" t="str">
        <f t="shared" si="46"/>
        <v>Argyle Site Planning Study</v>
      </c>
      <c r="BG150" s="62" t="str">
        <f t="shared" si="47"/>
        <v>Reisenbichler, Thomas/ Kenneth?</v>
      </c>
      <c r="BH150" s="62" t="str">
        <f t="shared" si="48"/>
        <v>need to contact</v>
      </c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</row>
    <row r="151" ht="15.0" customHeight="1">
      <c r="A151" s="62"/>
      <c r="B151" s="79">
        <v>147546.001</v>
      </c>
      <c r="C151" s="62" t="s">
        <v>334</v>
      </c>
      <c r="D151" s="134" t="s">
        <v>177</v>
      </c>
      <c r="E151" s="73" t="s">
        <v>74</v>
      </c>
      <c r="F151" s="62"/>
      <c r="G151" s="64" t="s">
        <v>70</v>
      </c>
      <c r="H151" s="62"/>
      <c r="I151" s="65" t="s">
        <v>335</v>
      </c>
      <c r="J151" s="62"/>
      <c r="K151" s="62"/>
      <c r="L151" s="62"/>
      <c r="M151" s="62"/>
      <c r="N151" s="62"/>
      <c r="O151" s="72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2"/>
      <c r="BA151" s="62"/>
      <c r="BB151" s="62"/>
      <c r="BC151" s="78"/>
      <c r="BD151" s="78"/>
      <c r="BE151" s="74" t="str">
        <f t="shared" si="45"/>
        <v>No</v>
      </c>
      <c r="BF151" s="62"/>
      <c r="BG151" s="75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</row>
    <row r="152" ht="15.0" customHeight="1">
      <c r="A152" s="62"/>
      <c r="B152" s="83">
        <v>147468.0</v>
      </c>
      <c r="C152" s="134" t="s">
        <v>336</v>
      </c>
      <c r="D152" s="134" t="s">
        <v>177</v>
      </c>
      <c r="E152" s="73" t="s">
        <v>74</v>
      </c>
      <c r="F152" s="62"/>
      <c r="G152" s="64" t="s">
        <v>337</v>
      </c>
      <c r="H152" s="62"/>
      <c r="I152" s="65"/>
      <c r="J152" s="62"/>
      <c r="K152" s="62"/>
      <c r="L152" s="62"/>
      <c r="M152" s="62"/>
      <c r="N152" s="62"/>
      <c r="O152" s="72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2"/>
      <c r="BA152" s="62"/>
      <c r="BB152" s="62"/>
      <c r="BC152" s="78"/>
      <c r="BD152" s="78"/>
      <c r="BE152" s="74" t="str">
        <f t="shared" si="45"/>
        <v>No</v>
      </c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</row>
    <row r="153" ht="15.0" customHeight="1">
      <c r="A153" s="62"/>
      <c r="B153" s="83">
        <v>147850.0</v>
      </c>
      <c r="C153" s="62" t="s">
        <v>338</v>
      </c>
      <c r="D153" s="134" t="s">
        <v>177</v>
      </c>
      <c r="E153" s="73" t="s">
        <v>74</v>
      </c>
      <c r="F153" s="62"/>
      <c r="G153" s="64" t="s">
        <v>152</v>
      </c>
      <c r="H153" s="62"/>
      <c r="I153" s="65" t="s">
        <v>238</v>
      </c>
      <c r="J153" s="62"/>
      <c r="K153" s="62"/>
      <c r="L153" s="62"/>
      <c r="M153" s="62"/>
      <c r="N153" s="62"/>
      <c r="O153" s="72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2"/>
      <c r="BA153" s="62"/>
      <c r="BB153" s="62"/>
      <c r="BC153" s="78"/>
      <c r="BD153" s="78"/>
      <c r="BE153" s="74" t="str">
        <f t="shared" si="45"/>
        <v>No</v>
      </c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</row>
    <row r="154" ht="15.0" customHeight="1">
      <c r="A154" s="62"/>
      <c r="B154" s="83">
        <v>147855.0</v>
      </c>
      <c r="C154" s="62" t="s">
        <v>339</v>
      </c>
      <c r="D154" s="134" t="s">
        <v>177</v>
      </c>
      <c r="E154" s="73" t="s">
        <v>74</v>
      </c>
      <c r="F154" s="62"/>
      <c r="G154" s="64" t="s">
        <v>152</v>
      </c>
      <c r="H154" s="62"/>
      <c r="I154" s="65" t="s">
        <v>238</v>
      </c>
      <c r="J154" s="62"/>
      <c r="K154" s="62"/>
      <c r="L154" s="62"/>
      <c r="M154" s="62"/>
      <c r="N154" s="62"/>
      <c r="O154" s="72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2"/>
      <c r="BA154" s="62"/>
      <c r="BB154" s="62"/>
      <c r="BC154" s="78"/>
      <c r="BD154" s="78"/>
      <c r="BE154" s="74" t="str">
        <f t="shared" si="45"/>
        <v>No</v>
      </c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</row>
    <row r="155" ht="15.0" customHeight="1">
      <c r="A155" s="62"/>
      <c r="B155" s="83">
        <v>147831.0</v>
      </c>
      <c r="C155" s="62" t="s">
        <v>340</v>
      </c>
      <c r="D155" s="134" t="s">
        <v>177</v>
      </c>
      <c r="E155" s="73" t="s">
        <v>74</v>
      </c>
      <c r="F155" s="62"/>
      <c r="G155" s="64"/>
      <c r="H155" s="62"/>
      <c r="I155" s="65"/>
      <c r="J155" s="62"/>
      <c r="K155" s="62"/>
      <c r="L155" s="62"/>
      <c r="M155" s="62"/>
      <c r="N155" s="62"/>
      <c r="O155" s="72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2"/>
      <c r="BA155" s="62"/>
      <c r="BB155" s="62"/>
      <c r="BC155" s="78"/>
      <c r="BD155" s="78"/>
      <c r="BE155" s="74" t="str">
        <f t="shared" si="45"/>
        <v>No</v>
      </c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</row>
    <row r="156" ht="15.0" customHeight="1">
      <c r="A156" s="62"/>
      <c r="B156" s="83">
        <v>147829.0</v>
      </c>
      <c r="C156" s="62" t="s">
        <v>341</v>
      </c>
      <c r="D156" s="134" t="s">
        <v>177</v>
      </c>
      <c r="E156" s="73" t="s">
        <v>74</v>
      </c>
      <c r="F156" s="62"/>
      <c r="G156" s="64"/>
      <c r="H156" s="62"/>
      <c r="I156" s="65"/>
      <c r="J156" s="62"/>
      <c r="K156" s="62"/>
      <c r="L156" s="62"/>
      <c r="M156" s="62"/>
      <c r="N156" s="62"/>
      <c r="O156" s="72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2"/>
      <c r="BA156" s="62"/>
      <c r="BB156" s="62"/>
      <c r="BC156" s="78"/>
      <c r="BD156" s="78"/>
      <c r="BE156" s="74" t="str">
        <f t="shared" si="45"/>
        <v>No</v>
      </c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</row>
    <row r="157" ht="15.0" customHeight="1">
      <c r="A157" s="62"/>
      <c r="B157" s="83"/>
      <c r="C157" s="62"/>
      <c r="D157" s="62"/>
      <c r="E157" s="73"/>
      <c r="F157" s="62"/>
      <c r="G157" s="64"/>
      <c r="H157" s="62"/>
      <c r="I157" s="65"/>
      <c r="J157" s="62"/>
      <c r="K157" s="62"/>
      <c r="L157" s="62"/>
      <c r="M157" s="62"/>
      <c r="N157" s="62"/>
      <c r="O157" s="72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2"/>
      <c r="BA157" s="62"/>
      <c r="BB157" s="62"/>
      <c r="BC157" s="78"/>
      <c r="BD157" s="78"/>
      <c r="BE157" s="74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</row>
    <row r="158" ht="15.0" customHeight="1">
      <c r="A158" s="51"/>
      <c r="B158" s="146" t="s">
        <v>342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2"/>
      <c r="BD158" s="88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</row>
    <row r="159" ht="14.25" customHeight="1">
      <c r="A159" s="83">
        <v>1.0</v>
      </c>
      <c r="B159" s="66">
        <v>147727.0</v>
      </c>
      <c r="C159" s="128" t="s">
        <v>343</v>
      </c>
      <c r="D159" s="128" t="s">
        <v>344</v>
      </c>
      <c r="E159" s="67" t="s">
        <v>69</v>
      </c>
      <c r="F159" s="67" t="s">
        <v>69</v>
      </c>
      <c r="G159" s="64" t="s">
        <v>345</v>
      </c>
      <c r="H159" s="65" t="s">
        <v>346</v>
      </c>
      <c r="I159" s="69" t="s">
        <v>347</v>
      </c>
      <c r="J159" s="68" t="s">
        <v>96</v>
      </c>
      <c r="K159" s="80" t="s">
        <v>180</v>
      </c>
      <c r="L159" s="64" t="s">
        <v>180</v>
      </c>
      <c r="M159" s="67" t="s">
        <v>69</v>
      </c>
      <c r="N159" s="81">
        <v>0.95</v>
      </c>
      <c r="O159" s="72">
        <v>0.88</v>
      </c>
      <c r="P159" s="68">
        <v>4.0</v>
      </c>
      <c r="Q159" s="68">
        <v>4.0</v>
      </c>
      <c r="R159" s="68">
        <v>4.0</v>
      </c>
      <c r="S159" s="68">
        <v>6.0</v>
      </c>
      <c r="T159" s="68" t="s">
        <v>75</v>
      </c>
      <c r="U159" s="68" t="s">
        <v>75</v>
      </c>
      <c r="V159" s="68" t="s">
        <v>75</v>
      </c>
      <c r="W159" s="68" t="s">
        <v>75</v>
      </c>
      <c r="X159" s="68" t="s">
        <v>75</v>
      </c>
      <c r="Y159" s="68" t="s">
        <v>75</v>
      </c>
      <c r="Z159" s="68">
        <v>1.2</v>
      </c>
      <c r="AA159" s="68">
        <v>0.8</v>
      </c>
      <c r="AB159" s="72">
        <f>(Z159-AA159)/Z159</f>
        <v>0.3333333333</v>
      </c>
      <c r="AC159" s="68" t="s">
        <v>69</v>
      </c>
      <c r="AD159" s="68">
        <v>11.0</v>
      </c>
      <c r="AE159" s="68">
        <v>0.0</v>
      </c>
      <c r="AF159" s="68" t="s">
        <v>196</v>
      </c>
      <c r="AG159" s="68" t="s">
        <v>74</v>
      </c>
      <c r="AH159" s="68" t="s">
        <v>82</v>
      </c>
      <c r="AI159" s="68" t="s">
        <v>82</v>
      </c>
      <c r="AJ159" s="68" t="s">
        <v>82</v>
      </c>
      <c r="AK159" s="68" t="s">
        <v>82</v>
      </c>
      <c r="AL159" s="68">
        <v>1.0</v>
      </c>
      <c r="AM159" s="68">
        <v>1.0</v>
      </c>
      <c r="AN159" s="68">
        <v>1.0</v>
      </c>
      <c r="AO159" s="68">
        <v>1.0</v>
      </c>
      <c r="AP159" s="68" t="s">
        <v>74</v>
      </c>
      <c r="AQ159" s="68">
        <v>2.0</v>
      </c>
      <c r="AR159" s="68">
        <v>1.0</v>
      </c>
      <c r="AS159" s="68">
        <v>1.0</v>
      </c>
      <c r="AT159" s="68">
        <v>1.0</v>
      </c>
      <c r="AU159" s="68">
        <v>1.0</v>
      </c>
      <c r="AV159" s="68">
        <v>1.0</v>
      </c>
      <c r="AW159" s="68">
        <v>1.0</v>
      </c>
      <c r="AX159" s="68">
        <v>1.0</v>
      </c>
      <c r="AY159" s="68">
        <v>1.0</v>
      </c>
      <c r="AZ159" s="68" t="str">
        <f t="shared" ref="AZ159:AZ160" si="49">P159+Q159+R159+S159+AD159+AE159+AG160+AL159+AM159+AN159+AO159+AQ159+AS159+AT159+AU159+AV159+AW159+AX159+AY159</f>
        <v>#VALUE!</v>
      </c>
      <c r="BA159" s="72" t="str">
        <f t="shared" ref="BA159:BA161" si="50">AZ159/55</f>
        <v>#VALUE!</v>
      </c>
      <c r="BB159" s="68" t="s">
        <v>185</v>
      </c>
      <c r="BC159" s="133" t="s">
        <v>348</v>
      </c>
      <c r="BD159" s="133"/>
      <c r="BE159" s="74" t="str">
        <f t="shared" ref="BE159:BE165" si="51">IF(O159&gt;60%,"YES","No")</f>
        <v>YES</v>
      </c>
      <c r="BF159" s="62" t="str">
        <f t="shared" ref="BF159:BF161" si="52">C159</f>
        <v>BSWI Surgery Renovation - This is the last report</v>
      </c>
      <c r="BG159" s="75" t="str">
        <f t="shared" ref="BG159:BG161" si="53">I159</f>
        <v>Wes Bowen / Beth </v>
      </c>
      <c r="BH159" s="75" t="str">
        <f t="shared" ref="BH159:BH161" si="54">IF(BA159&gt;65%,"No need to contact","need to contact")</f>
        <v>#VALUE!</v>
      </c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</row>
    <row r="160" ht="14.25" customHeight="1">
      <c r="A160" s="83">
        <v>2.0</v>
      </c>
      <c r="B160" s="66">
        <v>147726.0</v>
      </c>
      <c r="C160" s="128" t="s">
        <v>349</v>
      </c>
      <c r="D160" s="128" t="s">
        <v>344</v>
      </c>
      <c r="E160" s="67" t="s">
        <v>69</v>
      </c>
      <c r="F160" s="67" t="s">
        <v>69</v>
      </c>
      <c r="G160" s="68" t="s">
        <v>350</v>
      </c>
      <c r="H160" s="65" t="s">
        <v>346</v>
      </c>
      <c r="I160" s="69" t="s">
        <v>347</v>
      </c>
      <c r="J160" s="68" t="s">
        <v>351</v>
      </c>
      <c r="K160" s="80" t="s">
        <v>180</v>
      </c>
      <c r="L160" s="64" t="s">
        <v>180</v>
      </c>
      <c r="M160" s="67" t="s">
        <v>69</v>
      </c>
      <c r="N160" s="81">
        <v>0.85</v>
      </c>
      <c r="O160" s="72">
        <v>0.94</v>
      </c>
      <c r="P160" s="68">
        <v>4.0</v>
      </c>
      <c r="Q160" s="68">
        <v>3.0</v>
      </c>
      <c r="R160" s="68">
        <v>4.0</v>
      </c>
      <c r="S160" s="68">
        <v>6.0</v>
      </c>
      <c r="T160" s="68" t="s">
        <v>75</v>
      </c>
      <c r="U160" s="68" t="s">
        <v>75</v>
      </c>
      <c r="V160" s="68" t="s">
        <v>75</v>
      </c>
      <c r="W160" s="68" t="s">
        <v>75</v>
      </c>
      <c r="X160" s="68" t="s">
        <v>75</v>
      </c>
      <c r="Y160" s="68" t="s">
        <v>75</v>
      </c>
      <c r="Z160" s="68" t="s">
        <v>82</v>
      </c>
      <c r="AA160" s="68" t="s">
        <v>82</v>
      </c>
      <c r="AB160" s="68" t="s">
        <v>82</v>
      </c>
      <c r="AC160" s="68" t="s">
        <v>82</v>
      </c>
      <c r="AD160" s="68">
        <v>8.0</v>
      </c>
      <c r="AE160" s="68">
        <v>0.0</v>
      </c>
      <c r="AF160" s="68" t="s">
        <v>196</v>
      </c>
      <c r="AG160" s="68" t="s">
        <v>74</v>
      </c>
      <c r="AH160" s="72">
        <v>0.21</v>
      </c>
      <c r="AI160" s="68" t="s">
        <v>74</v>
      </c>
      <c r="AJ160" s="68" t="s">
        <v>75</v>
      </c>
      <c r="AK160" s="68" t="s">
        <v>75</v>
      </c>
      <c r="AL160" s="68">
        <v>5.0</v>
      </c>
      <c r="AM160" s="68">
        <v>2.0</v>
      </c>
      <c r="AN160" s="68">
        <v>1.0</v>
      </c>
      <c r="AO160" s="68">
        <v>1.0</v>
      </c>
      <c r="AP160" s="68" t="s">
        <v>74</v>
      </c>
      <c r="AQ160" s="68">
        <v>0.0</v>
      </c>
      <c r="AR160" s="68">
        <v>1.0</v>
      </c>
      <c r="AS160" s="68">
        <v>1.0</v>
      </c>
      <c r="AT160" s="68">
        <v>1.0</v>
      </c>
      <c r="AU160" s="68">
        <v>1.0</v>
      </c>
      <c r="AV160" s="68">
        <v>1.0</v>
      </c>
      <c r="AW160" s="68">
        <v>1.0</v>
      </c>
      <c r="AX160" s="68">
        <v>1.0</v>
      </c>
      <c r="AY160" s="68">
        <v>1.0</v>
      </c>
      <c r="AZ160" s="68" t="str">
        <f t="shared" si="49"/>
        <v>#VALUE!</v>
      </c>
      <c r="BA160" s="72" t="str">
        <f t="shared" si="50"/>
        <v>#VALUE!</v>
      </c>
      <c r="BB160" s="68" t="s">
        <v>185</v>
      </c>
      <c r="BC160" s="133"/>
      <c r="BD160" s="133"/>
      <c r="BE160" s="74" t="str">
        <f t="shared" si="51"/>
        <v>YES</v>
      </c>
      <c r="BF160" s="62" t="str">
        <f t="shared" si="52"/>
        <v>BSWI ICU Build out  (irving) - This is the last report</v>
      </c>
      <c r="BG160" s="75" t="str">
        <f t="shared" si="53"/>
        <v>Wes Bowen / Beth </v>
      </c>
      <c r="BH160" s="75" t="str">
        <f t="shared" si="54"/>
        <v>#VALUE!</v>
      </c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</row>
    <row r="161" ht="13.5" customHeight="1">
      <c r="A161" s="79">
        <v>3.0</v>
      </c>
      <c r="B161" s="76">
        <v>147766.0</v>
      </c>
      <c r="C161" s="77" t="s">
        <v>352</v>
      </c>
      <c r="D161" s="128" t="s">
        <v>344</v>
      </c>
      <c r="E161" s="67" t="s">
        <v>353</v>
      </c>
      <c r="F161" s="67"/>
      <c r="G161" s="68" t="s">
        <v>70</v>
      </c>
      <c r="H161" s="135" t="s">
        <v>354</v>
      </c>
      <c r="I161" s="69" t="s">
        <v>355</v>
      </c>
      <c r="J161" s="68" t="s">
        <v>159</v>
      </c>
      <c r="K161" s="136"/>
      <c r="L161" s="136"/>
      <c r="M161" s="136"/>
      <c r="N161" s="72">
        <v>0.0</v>
      </c>
      <c r="O161" s="72">
        <v>0.93</v>
      </c>
      <c r="P161" s="68">
        <v>4.0</v>
      </c>
      <c r="Q161" s="68">
        <v>4.0</v>
      </c>
      <c r="R161" s="68">
        <v>3.0</v>
      </c>
      <c r="S161" s="68">
        <v>6.0</v>
      </c>
      <c r="T161" s="68" t="s">
        <v>75</v>
      </c>
      <c r="U161" s="68" t="s">
        <v>75</v>
      </c>
      <c r="V161" s="68" t="s">
        <v>75</v>
      </c>
      <c r="W161" s="68" t="s">
        <v>75</v>
      </c>
      <c r="X161" s="68" t="s">
        <v>75</v>
      </c>
      <c r="Y161" s="68" t="s">
        <v>75</v>
      </c>
      <c r="Z161" s="68" t="s">
        <v>75</v>
      </c>
      <c r="AA161" s="68" t="s">
        <v>75</v>
      </c>
      <c r="AB161" s="68" t="s">
        <v>75</v>
      </c>
      <c r="AC161" s="68" t="s">
        <v>75</v>
      </c>
      <c r="AD161" s="68">
        <v>8.0</v>
      </c>
      <c r="AE161" s="68">
        <v>0.0</v>
      </c>
      <c r="AF161" s="68" t="s">
        <v>192</v>
      </c>
      <c r="AG161" s="68" t="s">
        <v>74</v>
      </c>
      <c r="AH161" s="72">
        <v>0.21</v>
      </c>
      <c r="AI161" s="68" t="s">
        <v>74</v>
      </c>
      <c r="AJ161" s="68" t="s">
        <v>75</v>
      </c>
      <c r="AK161" s="68" t="s">
        <v>75</v>
      </c>
      <c r="AL161" s="68">
        <v>5.0</v>
      </c>
      <c r="AM161" s="68">
        <v>0.0</v>
      </c>
      <c r="AN161" s="68">
        <v>1.0</v>
      </c>
      <c r="AO161" s="68">
        <v>1.0</v>
      </c>
      <c r="AP161" s="68" t="s">
        <v>69</v>
      </c>
      <c r="AQ161" s="68">
        <v>3.0</v>
      </c>
      <c r="AR161" s="68">
        <v>1.0</v>
      </c>
      <c r="AS161" s="68">
        <v>2.0</v>
      </c>
      <c r="AT161" s="68">
        <v>1.0</v>
      </c>
      <c r="AU161" s="68">
        <v>1.0</v>
      </c>
      <c r="AV161" s="68">
        <v>1.0</v>
      </c>
      <c r="AW161" s="68">
        <v>1.0</v>
      </c>
      <c r="AX161" s="68">
        <v>1.0</v>
      </c>
      <c r="AY161" s="68">
        <v>1.0</v>
      </c>
      <c r="AZ161" s="68" t="str">
        <f>P161+Q161+R161+S161+AD161+AE161+#REF!+AL161+AM161+AN161+AO161+AQ161+AS161+AT161+AU161+AV161+AW161+AX161+AY161</f>
        <v>#REF!</v>
      </c>
      <c r="BA161" s="72" t="str">
        <f t="shared" si="50"/>
        <v>#REF!</v>
      </c>
      <c r="BB161" s="68" t="s">
        <v>185</v>
      </c>
      <c r="BC161" s="140" t="s">
        <v>356</v>
      </c>
      <c r="BD161" s="140"/>
      <c r="BE161" s="74" t="str">
        <f t="shared" si="51"/>
        <v>YES</v>
      </c>
      <c r="BF161" s="62" t="str">
        <f t="shared" si="52"/>
        <v>Encompass Health Fairlawn Reno - This is the last report</v>
      </c>
      <c r="BG161" s="62" t="str">
        <f t="shared" si="53"/>
        <v>Ben Keyworth</v>
      </c>
      <c r="BH161" s="62" t="str">
        <f t="shared" si="54"/>
        <v>#REF!</v>
      </c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</row>
    <row r="162" ht="15.75" customHeight="1">
      <c r="A162" s="79">
        <v>4.0</v>
      </c>
      <c r="B162" s="76">
        <v>147823.0</v>
      </c>
      <c r="C162" s="76" t="s">
        <v>357</v>
      </c>
      <c r="D162" s="128" t="s">
        <v>344</v>
      </c>
      <c r="E162" s="67" t="s">
        <v>69</v>
      </c>
      <c r="F162" s="67"/>
      <c r="G162" s="73" t="s">
        <v>191</v>
      </c>
      <c r="H162" s="135"/>
      <c r="I162" s="69" t="s">
        <v>347</v>
      </c>
      <c r="J162" s="68"/>
      <c r="K162" s="136"/>
      <c r="L162" s="136"/>
      <c r="M162" s="136"/>
      <c r="N162" s="72"/>
      <c r="O162" s="72">
        <v>0.77</v>
      </c>
      <c r="P162" s="68">
        <v>4.0</v>
      </c>
      <c r="Q162" s="68">
        <v>2.0</v>
      </c>
      <c r="R162" s="68">
        <v>0.0</v>
      </c>
      <c r="S162" s="68">
        <v>4.0</v>
      </c>
      <c r="T162" s="68" t="s">
        <v>74</v>
      </c>
      <c r="U162" s="68">
        <v>296.0</v>
      </c>
      <c r="V162" s="68">
        <v>162.8</v>
      </c>
      <c r="W162" s="129">
        <v>2.0</v>
      </c>
      <c r="X162" s="72">
        <f>(U162-V162)/U162</f>
        <v>0.45</v>
      </c>
      <c r="Y162" s="68" t="s">
        <v>74</v>
      </c>
      <c r="Z162" s="68" t="s">
        <v>75</v>
      </c>
      <c r="AA162" s="68" t="s">
        <v>75</v>
      </c>
      <c r="AB162" s="68" t="s">
        <v>75</v>
      </c>
      <c r="AC162" s="68" t="s">
        <v>75</v>
      </c>
      <c r="AD162" s="68">
        <v>20.0</v>
      </c>
      <c r="AE162" s="68">
        <v>0.0</v>
      </c>
      <c r="AF162" s="68" t="s">
        <v>192</v>
      </c>
      <c r="AG162" s="68" t="s">
        <v>74</v>
      </c>
      <c r="AH162" s="68" t="s">
        <v>74</v>
      </c>
      <c r="AI162" s="68" t="s">
        <v>74</v>
      </c>
      <c r="AJ162" s="68" t="s">
        <v>75</v>
      </c>
      <c r="AK162" s="68" t="s">
        <v>75</v>
      </c>
      <c r="AL162" s="68">
        <v>4.0</v>
      </c>
      <c r="AM162" s="68">
        <v>2.0</v>
      </c>
      <c r="AN162" s="68">
        <v>1.0</v>
      </c>
      <c r="AO162" s="68">
        <v>1.0</v>
      </c>
      <c r="AP162" s="68"/>
      <c r="AQ162" s="68">
        <v>3.0</v>
      </c>
      <c r="AR162" s="68"/>
      <c r="AS162" s="68">
        <v>1.0</v>
      </c>
      <c r="AT162" s="68">
        <v>0.0</v>
      </c>
      <c r="AU162" s="68">
        <v>1.0</v>
      </c>
      <c r="AV162" s="68">
        <v>0.0</v>
      </c>
      <c r="AW162" s="68">
        <v>1.0</v>
      </c>
      <c r="AX162" s="68">
        <v>0.0</v>
      </c>
      <c r="AY162" s="68">
        <v>1.0</v>
      </c>
      <c r="AZ162" s="68"/>
      <c r="BA162" s="68"/>
      <c r="BB162" s="68"/>
      <c r="BC162" s="68"/>
      <c r="BD162" s="68"/>
      <c r="BE162" s="74" t="str">
        <f t="shared" si="51"/>
        <v>YES</v>
      </c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</row>
    <row r="163" ht="15.75" customHeight="1">
      <c r="A163" s="79">
        <v>5.0</v>
      </c>
      <c r="B163" s="76">
        <v>147841.0</v>
      </c>
      <c r="C163" s="76" t="s">
        <v>358</v>
      </c>
      <c r="D163" s="128" t="s">
        <v>344</v>
      </c>
      <c r="E163" s="67" t="s">
        <v>69</v>
      </c>
      <c r="F163" s="73"/>
      <c r="G163" s="73" t="s">
        <v>191</v>
      </c>
      <c r="H163" s="135"/>
      <c r="I163" s="69" t="s">
        <v>347</v>
      </c>
      <c r="J163" s="68"/>
      <c r="K163" s="136"/>
      <c r="L163" s="136"/>
      <c r="M163" s="136"/>
      <c r="N163" s="72"/>
      <c r="O163" s="82">
        <v>0.0</v>
      </c>
      <c r="P163" s="68"/>
      <c r="Q163" s="68"/>
      <c r="R163" s="68"/>
      <c r="S163" s="68"/>
      <c r="T163" s="68"/>
      <c r="U163" s="68"/>
      <c r="V163" s="68"/>
      <c r="W163" s="129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74" t="str">
        <f t="shared" si="51"/>
        <v>No</v>
      </c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</row>
    <row r="164" ht="15.75" customHeight="1">
      <c r="A164" s="79">
        <v>6.0</v>
      </c>
      <c r="B164" s="76">
        <v>147858.0</v>
      </c>
      <c r="C164" s="76" t="s">
        <v>359</v>
      </c>
      <c r="D164" s="128" t="s">
        <v>344</v>
      </c>
      <c r="E164" s="67" t="s">
        <v>69</v>
      </c>
      <c r="F164" s="73"/>
      <c r="G164" s="73" t="s">
        <v>191</v>
      </c>
      <c r="H164" s="135"/>
      <c r="I164" s="69" t="s">
        <v>360</v>
      </c>
      <c r="J164" s="68"/>
      <c r="K164" s="136"/>
      <c r="L164" s="136"/>
      <c r="M164" s="136"/>
      <c r="N164" s="72"/>
      <c r="O164" s="82">
        <v>0.0</v>
      </c>
      <c r="P164" s="68"/>
      <c r="Q164" s="68"/>
      <c r="R164" s="68"/>
      <c r="S164" s="68"/>
      <c r="T164" s="68"/>
      <c r="U164" s="68"/>
      <c r="V164" s="68"/>
      <c r="W164" s="129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74" t="str">
        <f t="shared" si="51"/>
        <v>No</v>
      </c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</row>
    <row r="165" ht="15.75" customHeight="1">
      <c r="A165" s="79"/>
      <c r="B165" s="79">
        <v>147721.0</v>
      </c>
      <c r="C165" s="79" t="s">
        <v>361</v>
      </c>
      <c r="D165" s="134" t="s">
        <v>344</v>
      </c>
      <c r="E165" s="73" t="s">
        <v>74</v>
      </c>
      <c r="F165" s="69"/>
      <c r="G165" s="69"/>
      <c r="H165" s="69"/>
      <c r="I165" s="65" t="s">
        <v>362</v>
      </c>
      <c r="J165" s="68"/>
      <c r="K165" s="136"/>
      <c r="L165" s="136"/>
      <c r="M165" s="136"/>
      <c r="N165" s="72"/>
      <c r="O165" s="72"/>
      <c r="P165" s="68">
        <v>4.0</v>
      </c>
      <c r="Q165" s="68">
        <v>0.0</v>
      </c>
      <c r="R165" s="68">
        <v>1.0</v>
      </c>
      <c r="S165" s="68">
        <v>0.0</v>
      </c>
      <c r="T165" s="68"/>
      <c r="U165" s="144"/>
      <c r="V165" s="144"/>
      <c r="W165" s="129"/>
      <c r="X165" s="72"/>
      <c r="Y165" s="94"/>
      <c r="Z165" s="130">
        <v>0.96</v>
      </c>
      <c r="AA165" s="130">
        <v>0.42</v>
      </c>
      <c r="AB165" s="147">
        <v>0.56</v>
      </c>
      <c r="AC165" s="130" t="s">
        <v>69</v>
      </c>
      <c r="AD165" s="68">
        <v>11.0</v>
      </c>
      <c r="AE165" s="68">
        <v>0.0</v>
      </c>
      <c r="AF165" s="68"/>
      <c r="AG165" s="68">
        <v>3.0</v>
      </c>
      <c r="AH165" s="131">
        <v>0.22</v>
      </c>
      <c r="AI165" s="132" t="s">
        <v>74</v>
      </c>
      <c r="AJ165" s="68" t="s">
        <v>75</v>
      </c>
      <c r="AK165" s="68" t="s">
        <v>75</v>
      </c>
      <c r="AL165" s="68">
        <v>5.0</v>
      </c>
      <c r="AM165" s="68">
        <v>2.0</v>
      </c>
      <c r="AN165" s="68">
        <v>0.0</v>
      </c>
      <c r="AO165" s="68">
        <v>0.0</v>
      </c>
      <c r="AP165" s="68"/>
      <c r="AQ165" s="68">
        <v>3.0</v>
      </c>
      <c r="AR165" s="68"/>
      <c r="AS165" s="68">
        <v>2.0</v>
      </c>
      <c r="AT165" s="68">
        <v>1.0</v>
      </c>
      <c r="AU165" s="68">
        <v>1.0</v>
      </c>
      <c r="AV165" s="68">
        <v>0.0</v>
      </c>
      <c r="AW165" s="68">
        <v>0.0</v>
      </c>
      <c r="AX165" s="68">
        <v>1.0</v>
      </c>
      <c r="AY165" s="68">
        <v>1.0</v>
      </c>
      <c r="AZ165" s="68">
        <f>P165+Q165+R165+S165+AD165+AE165+AG165+AL165+AM165+AN165+AO165+AQ165+AS165+AT165+AU165+AV165+AW165+AX165+AY165</f>
        <v>35</v>
      </c>
      <c r="BA165" s="72">
        <f>AZ165/55</f>
        <v>0.6363636364</v>
      </c>
      <c r="BB165" s="68" t="s">
        <v>185</v>
      </c>
      <c r="BC165" s="140"/>
      <c r="BD165" s="140"/>
      <c r="BE165" s="74" t="str">
        <f t="shared" si="51"/>
        <v>No</v>
      </c>
      <c r="BF165" s="62" t="str">
        <f>C165</f>
        <v>MDMC: 3ST Labor &amp; Delivery Renovation</v>
      </c>
      <c r="BG165" s="75" t="str">
        <f>I165</f>
        <v>Mark Roan/Austin Madrigal/Kat </v>
      </c>
      <c r="BH165" s="75" t="str">
        <f>IF(BA165&gt;65%,"No need to contact","need to contact")</f>
        <v>need to contact</v>
      </c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</row>
    <row r="166" ht="13.5" customHeight="1">
      <c r="A166" s="79"/>
      <c r="B166" s="79" t="s">
        <v>98</v>
      </c>
      <c r="C166" s="62" t="s">
        <v>363</v>
      </c>
      <c r="D166" s="134" t="s">
        <v>344</v>
      </c>
      <c r="E166" s="73" t="s">
        <v>98</v>
      </c>
      <c r="F166" s="73"/>
      <c r="G166" s="73" t="s">
        <v>98</v>
      </c>
      <c r="H166" s="135"/>
      <c r="I166" s="69" t="s">
        <v>355</v>
      </c>
      <c r="J166" s="68"/>
      <c r="K166" s="136"/>
      <c r="L166" s="136"/>
      <c r="M166" s="136"/>
      <c r="N166" s="72"/>
      <c r="O166" s="72"/>
      <c r="P166" s="68"/>
      <c r="Q166" s="68"/>
      <c r="R166" s="68"/>
      <c r="S166" s="68"/>
      <c r="T166" s="68"/>
      <c r="U166" s="68"/>
      <c r="V166" s="68"/>
      <c r="W166" s="129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72"/>
      <c r="BB166" s="68"/>
      <c r="BC166" s="140"/>
      <c r="BD166" s="140"/>
      <c r="BE166" s="74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</row>
    <row r="167" ht="15.75" customHeight="1">
      <c r="A167" s="79"/>
      <c r="B167" s="79">
        <v>147721.0</v>
      </c>
      <c r="C167" s="79" t="s">
        <v>361</v>
      </c>
      <c r="D167" s="134" t="s">
        <v>344</v>
      </c>
      <c r="E167" s="73" t="s">
        <v>74</v>
      </c>
      <c r="F167" s="69"/>
      <c r="G167" s="69"/>
      <c r="H167" s="69"/>
      <c r="I167" s="65" t="s">
        <v>362</v>
      </c>
      <c r="J167" s="68"/>
      <c r="K167" s="136"/>
      <c r="L167" s="136"/>
      <c r="M167" s="136"/>
      <c r="N167" s="72"/>
      <c r="O167" s="72"/>
      <c r="P167" s="68">
        <v>4.0</v>
      </c>
      <c r="Q167" s="68">
        <v>0.0</v>
      </c>
      <c r="R167" s="68">
        <v>1.0</v>
      </c>
      <c r="S167" s="68">
        <v>0.0</v>
      </c>
      <c r="T167" s="68"/>
      <c r="U167" s="144"/>
      <c r="V167" s="144"/>
      <c r="W167" s="129"/>
      <c r="X167" s="72"/>
      <c r="Y167" s="94"/>
      <c r="Z167" s="130">
        <v>0.96</v>
      </c>
      <c r="AA167" s="130">
        <v>0.42</v>
      </c>
      <c r="AB167" s="147">
        <v>0.56</v>
      </c>
      <c r="AC167" s="130" t="s">
        <v>69</v>
      </c>
      <c r="AD167" s="68">
        <v>11.0</v>
      </c>
      <c r="AE167" s="68">
        <v>0.0</v>
      </c>
      <c r="AF167" s="68"/>
      <c r="AG167" s="68">
        <v>3.0</v>
      </c>
      <c r="AH167" s="131">
        <v>0.22</v>
      </c>
      <c r="AI167" s="132" t="s">
        <v>74</v>
      </c>
      <c r="AJ167" s="68" t="s">
        <v>75</v>
      </c>
      <c r="AK167" s="68" t="s">
        <v>75</v>
      </c>
      <c r="AL167" s="68">
        <v>5.0</v>
      </c>
      <c r="AM167" s="68">
        <v>2.0</v>
      </c>
      <c r="AN167" s="68">
        <v>0.0</v>
      </c>
      <c r="AO167" s="68">
        <v>0.0</v>
      </c>
      <c r="AP167" s="68"/>
      <c r="AQ167" s="68">
        <v>3.0</v>
      </c>
      <c r="AR167" s="68"/>
      <c r="AS167" s="68">
        <v>2.0</v>
      </c>
      <c r="AT167" s="68">
        <v>1.0</v>
      </c>
      <c r="AU167" s="68">
        <v>1.0</v>
      </c>
      <c r="AV167" s="68">
        <v>0.0</v>
      </c>
      <c r="AW167" s="68">
        <v>0.0</v>
      </c>
      <c r="AX167" s="68">
        <v>1.0</v>
      </c>
      <c r="AY167" s="68">
        <v>1.0</v>
      </c>
      <c r="AZ167" s="68">
        <f>P167+Q167+R167+S167+AD167+AE167+AG167+AL167+AM167+AN167+AO167+AQ167+AS167+AT167+AU167+AV167+AW167+AX167+AY167</f>
        <v>35</v>
      </c>
      <c r="BA167" s="72">
        <f>AZ167/55</f>
        <v>0.6363636364</v>
      </c>
      <c r="BB167" s="68" t="s">
        <v>185</v>
      </c>
      <c r="BC167" s="140"/>
      <c r="BD167" s="140"/>
      <c r="BE167" s="74" t="str">
        <f>IF(O167&gt;60%,"YES","No")</f>
        <v>No</v>
      </c>
      <c r="BF167" s="62" t="str">
        <f>C167</f>
        <v>MDMC: 3ST Labor &amp; Delivery Renovation</v>
      </c>
      <c r="BG167" s="75" t="str">
        <f>I167</f>
        <v>Mark Roan/Austin Madrigal/Kat </v>
      </c>
      <c r="BH167" s="75" t="str">
        <f>IF(BA167&gt;65%,"No need to contact","need to contact")</f>
        <v>need to contact</v>
      </c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</row>
    <row r="168" ht="15.0" customHeight="1">
      <c r="A168" s="79"/>
      <c r="B168" s="79">
        <v>146118.0</v>
      </c>
      <c r="C168" s="62" t="s">
        <v>364</v>
      </c>
      <c r="D168" s="134" t="s">
        <v>344</v>
      </c>
      <c r="E168" s="148"/>
      <c r="F168" s="148"/>
      <c r="G168" s="148"/>
      <c r="H168" s="148"/>
      <c r="I168" s="149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  <c r="AD168" s="148"/>
      <c r="AE168" s="148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/>
      <c r="AX168" s="148"/>
      <c r="AY168" s="148"/>
      <c r="AZ168" s="148" t="s">
        <v>73</v>
      </c>
      <c r="BA168" s="148"/>
      <c r="BB168" s="148"/>
      <c r="BC168" s="78"/>
      <c r="BD168" s="78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</row>
    <row r="169" ht="15.0" customHeight="1">
      <c r="A169" s="79"/>
      <c r="B169" s="79">
        <v>146119.0</v>
      </c>
      <c r="C169" s="62" t="s">
        <v>365</v>
      </c>
      <c r="D169" s="134" t="s">
        <v>344</v>
      </c>
      <c r="E169" s="148"/>
      <c r="F169" s="148"/>
      <c r="G169" s="148"/>
      <c r="H169" s="148"/>
      <c r="I169" s="149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8"/>
      <c r="AH169" s="148"/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48"/>
      <c r="AW169" s="148"/>
      <c r="AX169" s="148"/>
      <c r="AY169" s="148"/>
      <c r="AZ169" s="148" t="s">
        <v>73</v>
      </c>
      <c r="BA169" s="148"/>
      <c r="BB169" s="148"/>
      <c r="BC169" s="78"/>
      <c r="BD169" s="78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</row>
    <row r="170" ht="15.75" customHeight="1">
      <c r="A170" s="79"/>
      <c r="B170" s="79"/>
      <c r="C170" s="79"/>
      <c r="D170" s="79"/>
      <c r="E170" s="73"/>
      <c r="F170" s="69"/>
      <c r="G170" s="69"/>
      <c r="H170" s="69"/>
      <c r="I170" s="65"/>
      <c r="J170" s="68"/>
      <c r="K170" s="136"/>
      <c r="L170" s="136"/>
      <c r="M170" s="136"/>
      <c r="N170" s="72"/>
      <c r="O170" s="72"/>
      <c r="P170" s="68"/>
      <c r="Q170" s="68"/>
      <c r="R170" s="68"/>
      <c r="S170" s="68"/>
      <c r="T170" s="68"/>
      <c r="U170" s="144"/>
      <c r="V170" s="144"/>
      <c r="W170" s="129"/>
      <c r="X170" s="72"/>
      <c r="Y170" s="94"/>
      <c r="Z170" s="130"/>
      <c r="AA170" s="130"/>
      <c r="AB170" s="147"/>
      <c r="AC170" s="130"/>
      <c r="AD170" s="68"/>
      <c r="AE170" s="68"/>
      <c r="AF170" s="68"/>
      <c r="AG170" s="68"/>
      <c r="AH170" s="131"/>
      <c r="AI170" s="132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72"/>
      <c r="BB170" s="68"/>
      <c r="BC170" s="140"/>
      <c r="BD170" s="140"/>
      <c r="BE170" s="74"/>
      <c r="BF170" s="62"/>
      <c r="BG170" s="75"/>
      <c r="BH170" s="75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</row>
    <row r="171" ht="13.5" customHeight="1">
      <c r="A171" s="79"/>
      <c r="B171" s="79"/>
      <c r="C171" s="62"/>
      <c r="D171" s="62"/>
      <c r="E171" s="73"/>
      <c r="F171" s="73"/>
      <c r="G171" s="73"/>
      <c r="H171" s="135"/>
      <c r="I171" s="69"/>
      <c r="J171" s="68"/>
      <c r="K171" s="136"/>
      <c r="L171" s="136"/>
      <c r="M171" s="136"/>
      <c r="N171" s="72"/>
      <c r="O171" s="72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72"/>
      <c r="BB171" s="68"/>
      <c r="BC171" s="140"/>
      <c r="BD171" s="140"/>
      <c r="BE171" s="74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</row>
    <row r="172" ht="14.25" hidden="1" customHeight="1">
      <c r="A172" s="79"/>
      <c r="B172" s="79">
        <v>147834.0</v>
      </c>
      <c r="C172" s="134" t="s">
        <v>366</v>
      </c>
      <c r="D172" s="134"/>
      <c r="E172" s="67"/>
      <c r="F172" s="67"/>
      <c r="G172" s="68"/>
      <c r="H172" s="135"/>
      <c r="I172" s="69" t="s">
        <v>347</v>
      </c>
      <c r="J172" s="68"/>
      <c r="K172" s="136"/>
      <c r="L172" s="136"/>
      <c r="M172" s="136"/>
      <c r="N172" s="72"/>
      <c r="O172" s="72"/>
      <c r="P172" s="68">
        <v>-6.0</v>
      </c>
      <c r="Q172" s="68">
        <v>10.0</v>
      </c>
      <c r="R172" s="68">
        <v>1.0</v>
      </c>
      <c r="S172" s="68">
        <v>0.0</v>
      </c>
      <c r="T172" s="68"/>
      <c r="U172" s="144"/>
      <c r="V172" s="144"/>
      <c r="W172" s="144"/>
      <c r="X172" s="72"/>
      <c r="Y172" s="94"/>
      <c r="Z172" s="130">
        <v>0.96</v>
      </c>
      <c r="AA172" s="130">
        <v>5.62</v>
      </c>
      <c r="AB172" s="147">
        <v>-4.84</v>
      </c>
      <c r="AC172" s="130" t="s">
        <v>69</v>
      </c>
      <c r="AD172" s="68">
        <v>11.0</v>
      </c>
      <c r="AE172" s="68">
        <v>0.0</v>
      </c>
      <c r="AF172" s="68"/>
      <c r="AG172" s="68">
        <v>-7.0</v>
      </c>
      <c r="AH172" s="131">
        <v>0.22</v>
      </c>
      <c r="AI172" s="145" t="s">
        <v>74</v>
      </c>
      <c r="AJ172" s="131"/>
      <c r="AK172" s="94"/>
      <c r="AL172" s="68">
        <v>5.0</v>
      </c>
      <c r="AM172" s="68">
        <v>2.0</v>
      </c>
      <c r="AN172" s="68">
        <v>0.0</v>
      </c>
      <c r="AO172" s="68">
        <v>0.0</v>
      </c>
      <c r="AP172" s="68"/>
      <c r="AQ172" s="68">
        <v>3.0</v>
      </c>
      <c r="AR172" s="68"/>
      <c r="AS172" s="68">
        <v>2.0</v>
      </c>
      <c r="AT172" s="68">
        <v>1.0</v>
      </c>
      <c r="AU172" s="68">
        <v>1.0</v>
      </c>
      <c r="AV172" s="68">
        <v>0.0</v>
      </c>
      <c r="AW172" s="68">
        <v>0.0</v>
      </c>
      <c r="AX172" s="68">
        <v>1.0</v>
      </c>
      <c r="AY172" s="68">
        <v>1.0</v>
      </c>
      <c r="AZ172" s="68">
        <f t="shared" ref="AZ172:AZ181" si="55">P172+Q172+R172+S172+AD172+AE172+AG172+AL172+AM172+AN172+AO172+AQ172+AS172+AT172+AU172+AV172+AW172+AX172+AY172</f>
        <v>25</v>
      </c>
      <c r="BA172" s="72">
        <f t="shared" ref="BA172:BA181" si="56">AZ172/55</f>
        <v>0.4545454545</v>
      </c>
      <c r="BB172" s="68" t="s">
        <v>185</v>
      </c>
      <c r="BC172" s="140"/>
      <c r="BD172" s="140"/>
      <c r="BE172" s="74" t="str">
        <f t="shared" ref="BE172:BE181" si="57">IF(O172&gt;60%,"YES","No")</f>
        <v>No</v>
      </c>
      <c r="BF172" s="62" t="str">
        <f t="shared" ref="BF172:BF181" si="58">C172</f>
        <v>THPPP Fluoro Equip Replace</v>
      </c>
      <c r="BG172" s="62" t="str">
        <f t="shared" ref="BG172:BG181" si="59">I172</f>
        <v>Wes Bowen / Beth </v>
      </c>
      <c r="BH172" s="62" t="str">
        <f t="shared" ref="BH172:BH181" si="60">IF(BA172&gt;65%,"No need to contact","need to contact")</f>
        <v>need to contact</v>
      </c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</row>
    <row r="173" ht="15.0" hidden="1" customHeight="1">
      <c r="A173" s="79"/>
      <c r="B173" s="79">
        <v>147833.0</v>
      </c>
      <c r="C173" s="62" t="s">
        <v>367</v>
      </c>
      <c r="D173" s="62"/>
      <c r="E173" s="148"/>
      <c r="F173" s="148"/>
      <c r="G173" s="148"/>
      <c r="H173" s="148"/>
      <c r="I173" s="69" t="s">
        <v>347</v>
      </c>
      <c r="J173" s="148"/>
      <c r="K173" s="148"/>
      <c r="L173" s="148"/>
      <c r="M173" s="148"/>
      <c r="N173" s="148"/>
      <c r="O173" s="72"/>
      <c r="P173" s="68">
        <v>-5.0</v>
      </c>
      <c r="Q173" s="68">
        <v>9.0</v>
      </c>
      <c r="R173" s="68">
        <v>1.0</v>
      </c>
      <c r="S173" s="68">
        <v>0.0</v>
      </c>
      <c r="T173" s="68"/>
      <c r="U173" s="144"/>
      <c r="V173" s="144"/>
      <c r="W173" s="144"/>
      <c r="X173" s="72"/>
      <c r="Y173" s="94"/>
      <c r="Z173" s="130">
        <v>0.96</v>
      </c>
      <c r="AA173" s="130">
        <v>5.1</v>
      </c>
      <c r="AB173" s="147">
        <v>-4.3</v>
      </c>
      <c r="AC173" s="130" t="s">
        <v>160</v>
      </c>
      <c r="AD173" s="68">
        <v>11.0</v>
      </c>
      <c r="AE173" s="68">
        <v>0.0</v>
      </c>
      <c r="AF173" s="68"/>
      <c r="AG173" s="68">
        <v>-6.0</v>
      </c>
      <c r="AH173" s="131">
        <v>0.22</v>
      </c>
      <c r="AI173" s="145" t="s">
        <v>74</v>
      </c>
      <c r="AJ173" s="131"/>
      <c r="AK173" s="94"/>
      <c r="AL173" s="68">
        <v>5.0</v>
      </c>
      <c r="AM173" s="68">
        <v>2.0</v>
      </c>
      <c r="AN173" s="68">
        <v>0.0</v>
      </c>
      <c r="AO173" s="68">
        <v>0.0</v>
      </c>
      <c r="AP173" s="68"/>
      <c r="AQ173" s="68">
        <v>3.0</v>
      </c>
      <c r="AR173" s="68"/>
      <c r="AS173" s="68">
        <v>2.0</v>
      </c>
      <c r="AT173" s="68">
        <v>1.0</v>
      </c>
      <c r="AU173" s="68">
        <v>1.0</v>
      </c>
      <c r="AV173" s="68">
        <v>0.0</v>
      </c>
      <c r="AW173" s="68">
        <v>0.0</v>
      </c>
      <c r="AX173" s="68">
        <v>1.0</v>
      </c>
      <c r="AY173" s="68">
        <v>1.0</v>
      </c>
      <c r="AZ173" s="68">
        <f t="shared" si="55"/>
        <v>26</v>
      </c>
      <c r="BA173" s="72">
        <f t="shared" si="56"/>
        <v>0.4727272727</v>
      </c>
      <c r="BB173" s="68" t="s">
        <v>185</v>
      </c>
      <c r="BC173" s="78"/>
      <c r="BD173" s="78"/>
      <c r="BE173" s="74" t="str">
        <f t="shared" si="57"/>
        <v>No</v>
      </c>
      <c r="BF173" s="62" t="str">
        <f t="shared" si="58"/>
        <v>THPPP X-Ray Equip Replace</v>
      </c>
      <c r="BG173" s="62" t="str">
        <f t="shared" si="59"/>
        <v>Wes Bowen / Beth </v>
      </c>
      <c r="BH173" s="62" t="str">
        <f t="shared" si="60"/>
        <v>need to contact</v>
      </c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</row>
    <row r="174" ht="15.0" hidden="1" customHeight="1">
      <c r="A174" s="79"/>
      <c r="B174" s="79">
        <v>147838.0</v>
      </c>
      <c r="C174" s="62" t="s">
        <v>368</v>
      </c>
      <c r="D174" s="62"/>
      <c r="E174" s="148"/>
      <c r="F174" s="148"/>
      <c r="G174" s="148"/>
      <c r="H174" s="148"/>
      <c r="I174" s="69" t="s">
        <v>369</v>
      </c>
      <c r="J174" s="148"/>
      <c r="K174" s="148"/>
      <c r="L174" s="148"/>
      <c r="M174" s="148"/>
      <c r="N174" s="148"/>
      <c r="O174" s="72"/>
      <c r="P174" s="68">
        <v>-4.0</v>
      </c>
      <c r="Q174" s="68">
        <v>8.0</v>
      </c>
      <c r="R174" s="68">
        <v>1.0</v>
      </c>
      <c r="S174" s="68">
        <v>0.0</v>
      </c>
      <c r="T174" s="68"/>
      <c r="U174" s="144"/>
      <c r="V174" s="144"/>
      <c r="W174" s="144"/>
      <c r="X174" s="72"/>
      <c r="Y174" s="94"/>
      <c r="Z174" s="130">
        <v>0.96</v>
      </c>
      <c r="AA174" s="130">
        <v>4.58</v>
      </c>
      <c r="AB174" s="147">
        <v>-3.76</v>
      </c>
      <c r="AC174" s="130" t="s">
        <v>69</v>
      </c>
      <c r="AD174" s="68">
        <v>11.0</v>
      </c>
      <c r="AE174" s="68">
        <v>0.0</v>
      </c>
      <c r="AF174" s="68"/>
      <c r="AG174" s="68">
        <v>-5.0</v>
      </c>
      <c r="AH174" s="131">
        <v>0.22</v>
      </c>
      <c r="AI174" s="145" t="s">
        <v>74</v>
      </c>
      <c r="AJ174" s="131"/>
      <c r="AK174" s="94"/>
      <c r="AL174" s="68">
        <v>5.0</v>
      </c>
      <c r="AM174" s="68">
        <v>2.0</v>
      </c>
      <c r="AN174" s="68">
        <v>0.0</v>
      </c>
      <c r="AO174" s="68">
        <v>0.0</v>
      </c>
      <c r="AP174" s="68"/>
      <c r="AQ174" s="68">
        <v>3.0</v>
      </c>
      <c r="AR174" s="68"/>
      <c r="AS174" s="68">
        <v>2.0</v>
      </c>
      <c r="AT174" s="68">
        <v>1.0</v>
      </c>
      <c r="AU174" s="68">
        <v>1.0</v>
      </c>
      <c r="AV174" s="68">
        <v>0.0</v>
      </c>
      <c r="AW174" s="68">
        <v>0.0</v>
      </c>
      <c r="AX174" s="68">
        <v>1.0</v>
      </c>
      <c r="AY174" s="68">
        <v>1.0</v>
      </c>
      <c r="AZ174" s="68">
        <f t="shared" si="55"/>
        <v>27</v>
      </c>
      <c r="BA174" s="72">
        <f t="shared" si="56"/>
        <v>0.4909090909</v>
      </c>
      <c r="BB174" s="68" t="s">
        <v>185</v>
      </c>
      <c r="BC174" s="78"/>
      <c r="BD174" s="78"/>
      <c r="BE174" s="74" t="str">
        <f t="shared" si="57"/>
        <v>No</v>
      </c>
      <c r="BF174" s="62" t="str">
        <f t="shared" si="58"/>
        <v>Baylor Cancer Center Ceiling Finish Refresh</v>
      </c>
      <c r="BG174" s="62" t="str">
        <f t="shared" si="59"/>
        <v>Nicki Hellem / </v>
      </c>
      <c r="BH174" s="62" t="str">
        <f t="shared" si="60"/>
        <v>need to contact</v>
      </c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</row>
    <row r="175" ht="15.75" hidden="1" customHeight="1">
      <c r="A175" s="79"/>
      <c r="B175" s="79">
        <v>147837.0</v>
      </c>
      <c r="C175" s="79" t="s">
        <v>370</v>
      </c>
      <c r="D175" s="79"/>
      <c r="E175" s="68"/>
      <c r="F175" s="69"/>
      <c r="G175" s="69"/>
      <c r="H175" s="69"/>
      <c r="I175" s="69" t="s">
        <v>369</v>
      </c>
      <c r="J175" s="68"/>
      <c r="K175" s="136"/>
      <c r="L175" s="136"/>
      <c r="M175" s="136"/>
      <c r="N175" s="72"/>
      <c r="O175" s="72"/>
      <c r="P175" s="68">
        <v>-3.0</v>
      </c>
      <c r="Q175" s="68">
        <v>7.0</v>
      </c>
      <c r="R175" s="68">
        <v>1.0</v>
      </c>
      <c r="S175" s="68">
        <v>0.0</v>
      </c>
      <c r="T175" s="68"/>
      <c r="U175" s="144"/>
      <c r="V175" s="144"/>
      <c r="W175" s="144"/>
      <c r="X175" s="72"/>
      <c r="Y175" s="94"/>
      <c r="Z175" s="130">
        <v>0.96</v>
      </c>
      <c r="AA175" s="130">
        <v>4.06</v>
      </c>
      <c r="AB175" s="147">
        <v>-3.22</v>
      </c>
      <c r="AC175" s="130" t="s">
        <v>160</v>
      </c>
      <c r="AD175" s="68">
        <v>11.0</v>
      </c>
      <c r="AE175" s="68">
        <v>0.0</v>
      </c>
      <c r="AF175" s="68"/>
      <c r="AG175" s="68">
        <v>-4.0</v>
      </c>
      <c r="AH175" s="131">
        <v>0.22</v>
      </c>
      <c r="AI175" s="145" t="s">
        <v>74</v>
      </c>
      <c r="AJ175" s="131"/>
      <c r="AK175" s="94"/>
      <c r="AL175" s="68">
        <v>5.0</v>
      </c>
      <c r="AM175" s="68">
        <v>2.0</v>
      </c>
      <c r="AN175" s="68">
        <v>0.0</v>
      </c>
      <c r="AO175" s="68">
        <v>0.0</v>
      </c>
      <c r="AP175" s="68"/>
      <c r="AQ175" s="68">
        <v>3.0</v>
      </c>
      <c r="AR175" s="68"/>
      <c r="AS175" s="68">
        <v>2.0</v>
      </c>
      <c r="AT175" s="68">
        <v>1.0</v>
      </c>
      <c r="AU175" s="68">
        <v>1.0</v>
      </c>
      <c r="AV175" s="68">
        <v>0.0</v>
      </c>
      <c r="AW175" s="68">
        <v>0.0</v>
      </c>
      <c r="AX175" s="68">
        <v>1.0</v>
      </c>
      <c r="AY175" s="68">
        <v>1.0</v>
      </c>
      <c r="AZ175" s="68">
        <f t="shared" si="55"/>
        <v>28</v>
      </c>
      <c r="BA175" s="72">
        <f t="shared" si="56"/>
        <v>0.5090909091</v>
      </c>
      <c r="BB175" s="68" t="s">
        <v>185</v>
      </c>
      <c r="BC175" s="140"/>
      <c r="BD175" s="140"/>
      <c r="BE175" s="74" t="str">
        <f t="shared" si="57"/>
        <v>No</v>
      </c>
      <c r="BF175" s="62" t="str">
        <f t="shared" si="58"/>
        <v>Renown Health South Meadows Campus Map Revisions</v>
      </c>
      <c r="BG175" s="62" t="str">
        <f t="shared" si="59"/>
        <v>Nicki Hellem / </v>
      </c>
      <c r="BH175" s="62" t="str">
        <f t="shared" si="60"/>
        <v>need to contact</v>
      </c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</row>
    <row r="176" ht="15.75" hidden="1" customHeight="1">
      <c r="A176" s="79"/>
      <c r="B176" s="79">
        <v>147849.0</v>
      </c>
      <c r="C176" s="79" t="s">
        <v>371</v>
      </c>
      <c r="D176" s="79"/>
      <c r="E176" s="73" t="s">
        <v>74</v>
      </c>
      <c r="F176" s="69"/>
      <c r="G176" s="69"/>
      <c r="H176" s="69"/>
      <c r="I176" s="69" t="s">
        <v>369</v>
      </c>
      <c r="J176" s="68"/>
      <c r="K176" s="136"/>
      <c r="L176" s="136"/>
      <c r="M176" s="136"/>
      <c r="N176" s="72"/>
      <c r="O176" s="72"/>
      <c r="P176" s="68">
        <v>-2.0</v>
      </c>
      <c r="Q176" s="68">
        <v>6.0</v>
      </c>
      <c r="R176" s="68">
        <v>1.0</v>
      </c>
      <c r="S176" s="68">
        <v>0.0</v>
      </c>
      <c r="T176" s="68"/>
      <c r="U176" s="144"/>
      <c r="V176" s="144"/>
      <c r="W176" s="144"/>
      <c r="X176" s="72"/>
      <c r="Y176" s="94"/>
      <c r="Z176" s="130">
        <v>0.96</v>
      </c>
      <c r="AA176" s="130">
        <v>3.54</v>
      </c>
      <c r="AB176" s="147">
        <v>-2.68</v>
      </c>
      <c r="AC176" s="130" t="s">
        <v>69</v>
      </c>
      <c r="AD176" s="68">
        <v>11.0</v>
      </c>
      <c r="AE176" s="68">
        <v>0.0</v>
      </c>
      <c r="AF176" s="68"/>
      <c r="AG176" s="68">
        <v>-3.0</v>
      </c>
      <c r="AH176" s="131">
        <v>0.22</v>
      </c>
      <c r="AI176" s="145" t="s">
        <v>74</v>
      </c>
      <c r="AJ176" s="131"/>
      <c r="AK176" s="94"/>
      <c r="AL176" s="68">
        <v>5.0</v>
      </c>
      <c r="AM176" s="68">
        <v>2.0</v>
      </c>
      <c r="AN176" s="68">
        <v>0.0</v>
      </c>
      <c r="AO176" s="68">
        <v>0.0</v>
      </c>
      <c r="AP176" s="68"/>
      <c r="AQ176" s="68">
        <v>3.0</v>
      </c>
      <c r="AR176" s="68"/>
      <c r="AS176" s="68">
        <v>2.0</v>
      </c>
      <c r="AT176" s="68">
        <v>1.0</v>
      </c>
      <c r="AU176" s="68">
        <v>1.0</v>
      </c>
      <c r="AV176" s="68">
        <v>0.0</v>
      </c>
      <c r="AW176" s="68">
        <v>0.0</v>
      </c>
      <c r="AX176" s="68">
        <v>1.0</v>
      </c>
      <c r="AY176" s="68">
        <v>1.0</v>
      </c>
      <c r="AZ176" s="68">
        <f t="shared" si="55"/>
        <v>29</v>
      </c>
      <c r="BA176" s="72">
        <f t="shared" si="56"/>
        <v>0.5272727273</v>
      </c>
      <c r="BB176" s="68" t="s">
        <v>185</v>
      </c>
      <c r="BC176" s="140"/>
      <c r="BD176" s="140"/>
      <c r="BE176" s="74" t="str">
        <f t="shared" si="57"/>
        <v>No</v>
      </c>
      <c r="BF176" s="62" t="str">
        <f t="shared" si="58"/>
        <v>BSWI 2-4 Patient Lift Replace</v>
      </c>
      <c r="BG176" s="62" t="str">
        <f t="shared" si="59"/>
        <v>Nicki Hellem / </v>
      </c>
      <c r="BH176" s="62" t="str">
        <f t="shared" si="60"/>
        <v>need to contact</v>
      </c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</row>
    <row r="177" ht="15.75" hidden="1" customHeight="1">
      <c r="A177" s="79"/>
      <c r="B177" s="79">
        <v>141253.0</v>
      </c>
      <c r="C177" s="79" t="s">
        <v>372</v>
      </c>
      <c r="D177" s="79"/>
      <c r="E177" s="73" t="s">
        <v>74</v>
      </c>
      <c r="F177" s="69"/>
      <c r="G177" s="69"/>
      <c r="H177" s="69"/>
      <c r="I177" s="69" t="s">
        <v>373</v>
      </c>
      <c r="J177" s="68"/>
      <c r="K177" s="136"/>
      <c r="L177" s="136"/>
      <c r="M177" s="136"/>
      <c r="N177" s="72"/>
      <c r="O177" s="72"/>
      <c r="P177" s="68">
        <v>-1.0</v>
      </c>
      <c r="Q177" s="68">
        <v>5.0</v>
      </c>
      <c r="R177" s="68">
        <v>1.0</v>
      </c>
      <c r="S177" s="68">
        <v>0.0</v>
      </c>
      <c r="T177" s="68"/>
      <c r="U177" s="144"/>
      <c r="V177" s="144"/>
      <c r="W177" s="144"/>
      <c r="X177" s="72"/>
      <c r="Y177" s="94"/>
      <c r="Z177" s="130">
        <v>0.96</v>
      </c>
      <c r="AA177" s="130">
        <v>3.02</v>
      </c>
      <c r="AB177" s="147">
        <v>-2.14</v>
      </c>
      <c r="AC177" s="130" t="s">
        <v>160</v>
      </c>
      <c r="AD177" s="68">
        <v>11.0</v>
      </c>
      <c r="AE177" s="68">
        <v>0.0</v>
      </c>
      <c r="AF177" s="68"/>
      <c r="AG177" s="68">
        <v>-2.0</v>
      </c>
      <c r="AH177" s="131">
        <v>0.22</v>
      </c>
      <c r="AI177" s="145" t="s">
        <v>74</v>
      </c>
      <c r="AJ177" s="131"/>
      <c r="AK177" s="94"/>
      <c r="AL177" s="68">
        <v>5.0</v>
      </c>
      <c r="AM177" s="68">
        <v>2.0</v>
      </c>
      <c r="AN177" s="68">
        <v>0.0</v>
      </c>
      <c r="AO177" s="68">
        <v>0.0</v>
      </c>
      <c r="AP177" s="68"/>
      <c r="AQ177" s="68">
        <v>3.0</v>
      </c>
      <c r="AR177" s="68"/>
      <c r="AS177" s="68">
        <v>2.0</v>
      </c>
      <c r="AT177" s="68">
        <v>1.0</v>
      </c>
      <c r="AU177" s="68">
        <v>1.0</v>
      </c>
      <c r="AV177" s="68">
        <v>0.0</v>
      </c>
      <c r="AW177" s="68">
        <v>0.0</v>
      </c>
      <c r="AX177" s="68">
        <v>1.0</v>
      </c>
      <c r="AY177" s="68">
        <v>1.0</v>
      </c>
      <c r="AZ177" s="68">
        <f t="shared" si="55"/>
        <v>30</v>
      </c>
      <c r="BA177" s="72">
        <f t="shared" si="56"/>
        <v>0.5454545455</v>
      </c>
      <c r="BB177" s="68" t="s">
        <v>185</v>
      </c>
      <c r="BC177" s="140"/>
      <c r="BD177" s="140"/>
      <c r="BE177" s="74" t="str">
        <f t="shared" si="57"/>
        <v>No</v>
      </c>
      <c r="BF177" s="62" t="str">
        <f t="shared" si="58"/>
        <v>Baylor Admin Sublease Study</v>
      </c>
      <c r="BG177" s="62" t="str">
        <f t="shared" si="59"/>
        <v>Amber Wernick</v>
      </c>
      <c r="BH177" s="62" t="str">
        <f t="shared" si="60"/>
        <v>need to contact</v>
      </c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</row>
    <row r="178" ht="15.75" hidden="1" customHeight="1">
      <c r="A178" s="79"/>
      <c r="B178" s="79">
        <v>147439.002</v>
      </c>
      <c r="C178" s="79" t="s">
        <v>374</v>
      </c>
      <c r="D178" s="79"/>
      <c r="E178" s="73" t="s">
        <v>74</v>
      </c>
      <c r="F178" s="69"/>
      <c r="G178" s="69"/>
      <c r="H178" s="69"/>
      <c r="I178" s="69" t="s">
        <v>369</v>
      </c>
      <c r="J178" s="68"/>
      <c r="K178" s="136"/>
      <c r="L178" s="136"/>
      <c r="M178" s="136"/>
      <c r="N178" s="72"/>
      <c r="O178" s="72"/>
      <c r="P178" s="68">
        <v>0.0</v>
      </c>
      <c r="Q178" s="68">
        <v>4.0</v>
      </c>
      <c r="R178" s="68">
        <v>1.0</v>
      </c>
      <c r="S178" s="68">
        <v>0.0</v>
      </c>
      <c r="T178" s="68"/>
      <c r="U178" s="144"/>
      <c r="V178" s="144"/>
      <c r="W178" s="144"/>
      <c r="X178" s="72"/>
      <c r="Y178" s="94"/>
      <c r="Z178" s="130">
        <v>0.96</v>
      </c>
      <c r="AA178" s="130">
        <v>2.5</v>
      </c>
      <c r="AB178" s="147">
        <v>-1.6</v>
      </c>
      <c r="AC178" s="130" t="s">
        <v>69</v>
      </c>
      <c r="AD178" s="68">
        <v>11.0</v>
      </c>
      <c r="AE178" s="68">
        <v>0.0</v>
      </c>
      <c r="AF178" s="68"/>
      <c r="AG178" s="68">
        <v>-1.0</v>
      </c>
      <c r="AH178" s="131">
        <v>0.22</v>
      </c>
      <c r="AI178" s="145" t="s">
        <v>74</v>
      </c>
      <c r="AJ178" s="131"/>
      <c r="AK178" s="94"/>
      <c r="AL178" s="68">
        <v>5.0</v>
      </c>
      <c r="AM178" s="68">
        <v>2.0</v>
      </c>
      <c r="AN178" s="68">
        <v>0.0</v>
      </c>
      <c r="AO178" s="68">
        <v>0.0</v>
      </c>
      <c r="AP178" s="68"/>
      <c r="AQ178" s="68">
        <v>3.0</v>
      </c>
      <c r="AR178" s="68"/>
      <c r="AS178" s="68">
        <v>2.0</v>
      </c>
      <c r="AT178" s="68">
        <v>1.0</v>
      </c>
      <c r="AU178" s="68">
        <v>1.0</v>
      </c>
      <c r="AV178" s="68">
        <v>0.0</v>
      </c>
      <c r="AW178" s="68">
        <v>0.0</v>
      </c>
      <c r="AX178" s="68">
        <v>1.0</v>
      </c>
      <c r="AY178" s="68">
        <v>1.0</v>
      </c>
      <c r="AZ178" s="68">
        <f t="shared" si="55"/>
        <v>31</v>
      </c>
      <c r="BA178" s="72">
        <f t="shared" si="56"/>
        <v>0.5636363636</v>
      </c>
      <c r="BB178" s="68" t="s">
        <v>185</v>
      </c>
      <c r="BC178" s="140"/>
      <c r="BD178" s="140"/>
      <c r="BE178" s="74" t="str">
        <f t="shared" si="57"/>
        <v>No</v>
      </c>
      <c r="BF178" s="62" t="str">
        <f t="shared" si="58"/>
        <v>Renown FF&amp;E</v>
      </c>
      <c r="BG178" s="62" t="str">
        <f t="shared" si="59"/>
        <v>Nicki Hellem / </v>
      </c>
      <c r="BH178" s="62" t="str">
        <f t="shared" si="60"/>
        <v>need to contact</v>
      </c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</row>
    <row r="179" ht="15.75" hidden="1" customHeight="1">
      <c r="A179" s="79"/>
      <c r="B179" s="79">
        <v>147787.0</v>
      </c>
      <c r="C179" s="79" t="s">
        <v>275</v>
      </c>
      <c r="D179" s="79"/>
      <c r="E179" s="73" t="s">
        <v>74</v>
      </c>
      <c r="F179" s="69"/>
      <c r="G179" s="69"/>
      <c r="H179" s="69"/>
      <c r="I179" s="69" t="s">
        <v>369</v>
      </c>
      <c r="J179" s="68"/>
      <c r="K179" s="136"/>
      <c r="L179" s="136"/>
      <c r="M179" s="136"/>
      <c r="N179" s="72"/>
      <c r="O179" s="72"/>
      <c r="P179" s="68">
        <v>1.0</v>
      </c>
      <c r="Q179" s="68">
        <v>3.0</v>
      </c>
      <c r="R179" s="68">
        <v>1.0</v>
      </c>
      <c r="S179" s="68">
        <v>0.0</v>
      </c>
      <c r="T179" s="68"/>
      <c r="U179" s="144"/>
      <c r="V179" s="144"/>
      <c r="W179" s="144"/>
      <c r="X179" s="72"/>
      <c r="Y179" s="94"/>
      <c r="Z179" s="130">
        <v>0.96</v>
      </c>
      <c r="AA179" s="130">
        <v>1.98</v>
      </c>
      <c r="AB179" s="147">
        <v>-1.06</v>
      </c>
      <c r="AC179" s="130" t="s">
        <v>160</v>
      </c>
      <c r="AD179" s="68">
        <v>11.0</v>
      </c>
      <c r="AE179" s="68">
        <v>0.0</v>
      </c>
      <c r="AF179" s="68"/>
      <c r="AG179" s="68">
        <v>0.0</v>
      </c>
      <c r="AH179" s="131">
        <v>0.22</v>
      </c>
      <c r="AI179" s="145" t="s">
        <v>74</v>
      </c>
      <c r="AJ179" s="131"/>
      <c r="AK179" s="94"/>
      <c r="AL179" s="68">
        <v>5.0</v>
      </c>
      <c r="AM179" s="68">
        <v>2.0</v>
      </c>
      <c r="AN179" s="68">
        <v>0.0</v>
      </c>
      <c r="AO179" s="68">
        <v>0.0</v>
      </c>
      <c r="AP179" s="68"/>
      <c r="AQ179" s="68">
        <v>3.0</v>
      </c>
      <c r="AR179" s="68"/>
      <c r="AS179" s="68">
        <v>2.0</v>
      </c>
      <c r="AT179" s="68">
        <v>1.0</v>
      </c>
      <c r="AU179" s="68">
        <v>1.0</v>
      </c>
      <c r="AV179" s="68">
        <v>0.0</v>
      </c>
      <c r="AW179" s="68">
        <v>0.0</v>
      </c>
      <c r="AX179" s="68">
        <v>1.0</v>
      </c>
      <c r="AY179" s="68">
        <v>1.0</v>
      </c>
      <c r="AZ179" s="68">
        <f t="shared" si="55"/>
        <v>32</v>
      </c>
      <c r="BA179" s="72">
        <f t="shared" si="56"/>
        <v>0.5818181818</v>
      </c>
      <c r="BB179" s="68" t="s">
        <v>185</v>
      </c>
      <c r="BC179" s="140"/>
      <c r="BD179" s="140"/>
      <c r="BE179" s="74" t="str">
        <f t="shared" si="57"/>
        <v>No</v>
      </c>
      <c r="BF179" s="62" t="str">
        <f t="shared" si="58"/>
        <v>BSWH Plano - Brain &amp; Spine Suite 800 Ren</v>
      </c>
      <c r="BG179" s="62" t="str">
        <f t="shared" si="59"/>
        <v>Nicki Hellem / </v>
      </c>
      <c r="BH179" s="62" t="str">
        <f t="shared" si="60"/>
        <v>need to contact</v>
      </c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</row>
    <row r="180" ht="15.75" hidden="1" customHeight="1">
      <c r="A180" s="79"/>
      <c r="B180" s="79">
        <v>147838.0</v>
      </c>
      <c r="C180" s="79" t="s">
        <v>375</v>
      </c>
      <c r="D180" s="79"/>
      <c r="E180" s="73" t="s">
        <v>74</v>
      </c>
      <c r="F180" s="69"/>
      <c r="G180" s="69"/>
      <c r="H180" s="69"/>
      <c r="I180" s="69" t="s">
        <v>369</v>
      </c>
      <c r="J180" s="68"/>
      <c r="K180" s="136"/>
      <c r="L180" s="136"/>
      <c r="M180" s="136"/>
      <c r="N180" s="72"/>
      <c r="O180" s="72"/>
      <c r="P180" s="68">
        <v>2.0</v>
      </c>
      <c r="Q180" s="68">
        <v>2.0</v>
      </c>
      <c r="R180" s="68">
        <v>1.0</v>
      </c>
      <c r="S180" s="68">
        <v>0.0</v>
      </c>
      <c r="T180" s="68"/>
      <c r="U180" s="144"/>
      <c r="V180" s="144"/>
      <c r="W180" s="144"/>
      <c r="X180" s="72"/>
      <c r="Y180" s="94"/>
      <c r="Z180" s="130">
        <v>0.96</v>
      </c>
      <c r="AA180" s="130">
        <v>1.46</v>
      </c>
      <c r="AB180" s="147">
        <v>-0.52</v>
      </c>
      <c r="AC180" s="130" t="s">
        <v>69</v>
      </c>
      <c r="AD180" s="68">
        <v>11.0</v>
      </c>
      <c r="AE180" s="68">
        <v>0.0</v>
      </c>
      <c r="AF180" s="68"/>
      <c r="AG180" s="68">
        <v>1.0</v>
      </c>
      <c r="AH180" s="131">
        <v>0.22</v>
      </c>
      <c r="AI180" s="145" t="s">
        <v>74</v>
      </c>
      <c r="AJ180" s="131"/>
      <c r="AK180" s="94"/>
      <c r="AL180" s="68">
        <v>5.0</v>
      </c>
      <c r="AM180" s="68">
        <v>2.0</v>
      </c>
      <c r="AN180" s="68">
        <v>0.0</v>
      </c>
      <c r="AO180" s="68">
        <v>0.0</v>
      </c>
      <c r="AP180" s="68"/>
      <c r="AQ180" s="68">
        <v>3.0</v>
      </c>
      <c r="AR180" s="68"/>
      <c r="AS180" s="68">
        <v>2.0</v>
      </c>
      <c r="AT180" s="68">
        <v>1.0</v>
      </c>
      <c r="AU180" s="68">
        <v>1.0</v>
      </c>
      <c r="AV180" s="68">
        <v>0.0</v>
      </c>
      <c r="AW180" s="68">
        <v>0.0</v>
      </c>
      <c r="AX180" s="68">
        <v>1.0</v>
      </c>
      <c r="AY180" s="68">
        <v>1.0</v>
      </c>
      <c r="AZ180" s="68">
        <f t="shared" si="55"/>
        <v>33</v>
      </c>
      <c r="BA180" s="72">
        <f t="shared" si="56"/>
        <v>0.6</v>
      </c>
      <c r="BB180" s="68" t="s">
        <v>185</v>
      </c>
      <c r="BC180" s="140"/>
      <c r="BD180" s="140"/>
      <c r="BE180" s="74" t="str">
        <f t="shared" si="57"/>
        <v>No</v>
      </c>
      <c r="BF180" s="62" t="str">
        <f t="shared" si="58"/>
        <v>Baylor Cancer Center - Ceiling Finish Refr</v>
      </c>
      <c r="BG180" s="62" t="str">
        <f t="shared" si="59"/>
        <v>Nicki Hellem / </v>
      </c>
      <c r="BH180" s="62" t="str">
        <f t="shared" si="60"/>
        <v>need to contact</v>
      </c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</row>
    <row r="181" ht="15.75" hidden="1" customHeight="1">
      <c r="A181" s="79"/>
      <c r="B181" s="79">
        <v>147706.0</v>
      </c>
      <c r="C181" s="79" t="s">
        <v>376</v>
      </c>
      <c r="D181" s="79"/>
      <c r="E181" s="73" t="s">
        <v>74</v>
      </c>
      <c r="F181" s="69"/>
      <c r="G181" s="69"/>
      <c r="H181" s="69"/>
      <c r="I181" s="65" t="s">
        <v>295</v>
      </c>
      <c r="J181" s="68"/>
      <c r="K181" s="136"/>
      <c r="L181" s="136"/>
      <c r="M181" s="136"/>
      <c r="N181" s="72"/>
      <c r="O181" s="72"/>
      <c r="P181" s="68">
        <v>3.0</v>
      </c>
      <c r="Q181" s="68">
        <v>1.0</v>
      </c>
      <c r="R181" s="68">
        <v>1.0</v>
      </c>
      <c r="S181" s="68">
        <v>0.0</v>
      </c>
      <c r="T181" s="68"/>
      <c r="U181" s="144"/>
      <c r="V181" s="144"/>
      <c r="W181" s="144"/>
      <c r="X181" s="72"/>
      <c r="Y181" s="94"/>
      <c r="Z181" s="130">
        <v>0.96</v>
      </c>
      <c r="AA181" s="130">
        <v>0.94</v>
      </c>
      <c r="AB181" s="147">
        <v>0.02</v>
      </c>
      <c r="AC181" s="130" t="s">
        <v>160</v>
      </c>
      <c r="AD181" s="68">
        <v>11.0</v>
      </c>
      <c r="AE181" s="68">
        <v>0.0</v>
      </c>
      <c r="AF181" s="68"/>
      <c r="AG181" s="68">
        <v>2.0</v>
      </c>
      <c r="AH181" s="131">
        <v>0.22</v>
      </c>
      <c r="AI181" s="145" t="s">
        <v>74</v>
      </c>
      <c r="AJ181" s="131"/>
      <c r="AK181" s="94"/>
      <c r="AL181" s="68">
        <v>5.0</v>
      </c>
      <c r="AM181" s="68">
        <v>2.0</v>
      </c>
      <c r="AN181" s="68">
        <v>0.0</v>
      </c>
      <c r="AO181" s="68">
        <v>0.0</v>
      </c>
      <c r="AP181" s="68"/>
      <c r="AQ181" s="68">
        <v>3.0</v>
      </c>
      <c r="AR181" s="68"/>
      <c r="AS181" s="68">
        <v>2.0</v>
      </c>
      <c r="AT181" s="68">
        <v>1.0</v>
      </c>
      <c r="AU181" s="68">
        <v>1.0</v>
      </c>
      <c r="AV181" s="68">
        <v>0.0</v>
      </c>
      <c r="AW181" s="68">
        <v>0.0</v>
      </c>
      <c r="AX181" s="68">
        <v>1.0</v>
      </c>
      <c r="AY181" s="68">
        <v>1.0</v>
      </c>
      <c r="AZ181" s="68">
        <f t="shared" si="55"/>
        <v>34</v>
      </c>
      <c r="BA181" s="72">
        <f t="shared" si="56"/>
        <v>0.6181818182</v>
      </c>
      <c r="BB181" s="68" t="s">
        <v>185</v>
      </c>
      <c r="BC181" s="140"/>
      <c r="BD181" s="140"/>
      <c r="BE181" s="74" t="str">
        <f t="shared" si="57"/>
        <v>No</v>
      </c>
      <c r="BF181" s="62" t="str">
        <f t="shared" si="58"/>
        <v>MRMC : 5th Floor Finish Out</v>
      </c>
      <c r="BG181" s="75" t="str">
        <f t="shared" si="59"/>
        <v>Mark Roan/Austin Madrigal</v>
      </c>
      <c r="BH181" s="75" t="str">
        <f t="shared" si="60"/>
        <v>need to contact</v>
      </c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</row>
    <row r="182" ht="15.75" hidden="1" customHeight="1">
      <c r="A182" s="79"/>
      <c r="B182" s="79">
        <v>147873.0</v>
      </c>
      <c r="C182" s="79" t="s">
        <v>377</v>
      </c>
      <c r="D182" s="79"/>
      <c r="E182" s="73" t="s">
        <v>74</v>
      </c>
      <c r="F182" s="67"/>
      <c r="G182" s="64" t="s">
        <v>378</v>
      </c>
      <c r="H182" s="135"/>
      <c r="I182" s="69" t="s">
        <v>379</v>
      </c>
      <c r="J182" s="68"/>
      <c r="K182" s="136"/>
      <c r="L182" s="136"/>
      <c r="M182" s="136"/>
      <c r="N182" s="72"/>
      <c r="O182" s="72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  <c r="AB182" s="150"/>
      <c r="AC182" s="150"/>
      <c r="AD182" s="150"/>
      <c r="AE182" s="150"/>
      <c r="AF182" s="150"/>
      <c r="AG182" s="150"/>
      <c r="AH182" s="150"/>
      <c r="AI182" s="150"/>
      <c r="AJ182" s="150"/>
      <c r="AK182" s="150"/>
      <c r="AL182" s="150"/>
      <c r="AM182" s="150"/>
      <c r="AN182" s="150"/>
      <c r="AO182" s="150"/>
      <c r="AP182" s="150"/>
      <c r="AQ182" s="150"/>
      <c r="AR182" s="150"/>
      <c r="AS182" s="150"/>
      <c r="AT182" s="150"/>
      <c r="AU182" s="150"/>
      <c r="AV182" s="150"/>
      <c r="AW182" s="150"/>
      <c r="AX182" s="150"/>
      <c r="AY182" s="150"/>
      <c r="AZ182" s="64"/>
      <c r="BA182" s="64"/>
      <c r="BB182" s="64"/>
      <c r="BC182" s="140"/>
      <c r="BD182" s="140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</row>
    <row r="183" ht="15.75" hidden="1" customHeight="1">
      <c r="A183" s="79"/>
      <c r="B183" s="79">
        <v>147865.0</v>
      </c>
      <c r="C183" s="79" t="s">
        <v>380</v>
      </c>
      <c r="D183" s="79"/>
      <c r="E183" s="73" t="s">
        <v>74</v>
      </c>
      <c r="F183" s="69"/>
      <c r="G183" s="68" t="s">
        <v>84</v>
      </c>
      <c r="H183" s="69"/>
      <c r="I183" s="65" t="s">
        <v>208</v>
      </c>
      <c r="J183" s="68"/>
      <c r="K183" s="136"/>
      <c r="L183" s="136"/>
      <c r="M183" s="136"/>
      <c r="N183" s="72"/>
      <c r="O183" s="72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  <c r="AC183" s="150"/>
      <c r="AD183" s="150"/>
      <c r="AE183" s="150"/>
      <c r="AF183" s="150"/>
      <c r="AG183" s="150"/>
      <c r="AH183" s="150"/>
      <c r="AI183" s="150"/>
      <c r="AJ183" s="150"/>
      <c r="AK183" s="150"/>
      <c r="AL183" s="150"/>
      <c r="AM183" s="150"/>
      <c r="AN183" s="150"/>
      <c r="AO183" s="150"/>
      <c r="AP183" s="150"/>
      <c r="AQ183" s="150"/>
      <c r="AR183" s="150"/>
      <c r="AS183" s="150"/>
      <c r="AT183" s="150"/>
      <c r="AU183" s="150"/>
      <c r="AV183" s="150"/>
      <c r="AW183" s="150"/>
      <c r="AX183" s="150"/>
      <c r="AY183" s="150"/>
      <c r="AZ183" s="64"/>
      <c r="BA183" s="64"/>
      <c r="BB183" s="64"/>
      <c r="BC183" s="140"/>
      <c r="BD183" s="140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</row>
    <row r="184" ht="15.75" hidden="1" customHeight="1">
      <c r="A184" s="79"/>
      <c r="B184" s="79">
        <v>147856.0</v>
      </c>
      <c r="C184" s="79" t="s">
        <v>381</v>
      </c>
      <c r="D184" s="79"/>
      <c r="E184" s="73" t="s">
        <v>74</v>
      </c>
      <c r="F184" s="67"/>
      <c r="G184" s="68" t="s">
        <v>84</v>
      </c>
      <c r="H184" s="135"/>
      <c r="I184" s="65" t="s">
        <v>208</v>
      </c>
      <c r="J184" s="68"/>
      <c r="K184" s="136"/>
      <c r="L184" s="136"/>
      <c r="M184" s="136"/>
      <c r="N184" s="72"/>
      <c r="O184" s="72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  <c r="AB184" s="150"/>
      <c r="AC184" s="150"/>
      <c r="AD184" s="150"/>
      <c r="AE184" s="150"/>
      <c r="AF184" s="150"/>
      <c r="AG184" s="150"/>
      <c r="AH184" s="150"/>
      <c r="AI184" s="150"/>
      <c r="AJ184" s="150"/>
      <c r="AK184" s="150"/>
      <c r="AL184" s="150"/>
      <c r="AM184" s="150"/>
      <c r="AN184" s="150"/>
      <c r="AO184" s="150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64"/>
      <c r="BA184" s="64"/>
      <c r="BB184" s="64"/>
      <c r="BC184" s="140"/>
      <c r="BD184" s="140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</row>
    <row r="185" ht="15.75" hidden="1" customHeight="1">
      <c r="A185" s="79"/>
      <c r="B185" s="79">
        <v>147858.0</v>
      </c>
      <c r="C185" s="79" t="s">
        <v>382</v>
      </c>
      <c r="D185" s="79"/>
      <c r="E185" s="73" t="s">
        <v>74</v>
      </c>
      <c r="F185" s="67"/>
      <c r="G185" s="64"/>
      <c r="H185" s="135"/>
      <c r="I185" s="69" t="s">
        <v>188</v>
      </c>
      <c r="J185" s="68"/>
      <c r="K185" s="136"/>
      <c r="L185" s="136"/>
      <c r="M185" s="136"/>
      <c r="N185" s="72"/>
      <c r="O185" s="72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  <c r="AC185" s="150"/>
      <c r="AD185" s="150"/>
      <c r="AE185" s="150"/>
      <c r="AF185" s="150"/>
      <c r="AG185" s="150"/>
      <c r="AH185" s="150"/>
      <c r="AI185" s="150"/>
      <c r="AJ185" s="150"/>
      <c r="AK185" s="150"/>
      <c r="AL185" s="150"/>
      <c r="AM185" s="150"/>
      <c r="AN185" s="150"/>
      <c r="AO185" s="150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64"/>
      <c r="BA185" s="64"/>
      <c r="BB185" s="64"/>
      <c r="BC185" s="140"/>
      <c r="BD185" s="140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</row>
    <row r="186" ht="79.5" customHeight="1">
      <c r="A186" s="127"/>
      <c r="B186" s="96" t="s">
        <v>383</v>
      </c>
      <c r="C186" s="97"/>
      <c r="D186" s="96"/>
      <c r="E186" s="98"/>
      <c r="F186" s="97"/>
      <c r="G186" s="97"/>
      <c r="H186" s="97"/>
      <c r="I186" s="97"/>
      <c r="J186" s="97"/>
      <c r="K186" s="99"/>
      <c r="L186" s="100"/>
      <c r="M186" s="101"/>
      <c r="N186" s="102"/>
      <c r="O186" s="102"/>
      <c r="P186" s="103" t="s">
        <v>384</v>
      </c>
      <c r="Q186" s="103" t="s">
        <v>385</v>
      </c>
      <c r="R186" s="103" t="s">
        <v>386</v>
      </c>
      <c r="S186" s="103" t="s">
        <v>387</v>
      </c>
      <c r="T186" s="104" t="s">
        <v>388</v>
      </c>
      <c r="U186" s="105"/>
      <c r="V186" s="106"/>
      <c r="W186" s="107" t="s">
        <v>389</v>
      </c>
      <c r="X186" s="108"/>
      <c r="Y186" s="103" t="s">
        <v>390</v>
      </c>
      <c r="Z186" s="100"/>
      <c r="AA186" s="100"/>
      <c r="AB186" s="100"/>
      <c r="AC186" s="103" t="s">
        <v>391</v>
      </c>
      <c r="AD186" s="103"/>
      <c r="AE186" s="104" t="s">
        <v>392</v>
      </c>
      <c r="AF186" s="104" t="s">
        <v>393</v>
      </c>
      <c r="AG186" s="101"/>
      <c r="AH186" s="108"/>
      <c r="AI186" s="103" t="s">
        <v>394</v>
      </c>
      <c r="AJ186" s="109"/>
      <c r="AK186" s="103" t="s">
        <v>395</v>
      </c>
      <c r="AL186" s="103"/>
      <c r="AM186" s="101"/>
      <c r="AN186" s="104" t="s">
        <v>396</v>
      </c>
      <c r="AO186" s="101"/>
      <c r="AP186" s="101"/>
      <c r="AQ186" s="151"/>
      <c r="AR186" s="109"/>
      <c r="AS186" s="101"/>
      <c r="AT186" s="101"/>
      <c r="AU186" s="111"/>
      <c r="AV186" s="111"/>
      <c r="AW186" s="111"/>
      <c r="AX186" s="111"/>
      <c r="AY186" s="104" t="s">
        <v>397</v>
      </c>
      <c r="AZ186" s="112"/>
      <c r="BA186" s="112"/>
      <c r="BB186" s="112"/>
      <c r="BC186" s="113"/>
      <c r="BD186" s="70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</row>
    <row r="187" ht="15.75" customHeight="1">
      <c r="A187" s="62"/>
      <c r="B187" s="79"/>
      <c r="C187" s="62"/>
      <c r="D187" s="62"/>
      <c r="E187" s="74"/>
      <c r="F187" s="62"/>
      <c r="G187" s="62"/>
      <c r="H187" s="62"/>
      <c r="I187" s="79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143"/>
      <c r="V187" s="143"/>
      <c r="W187" s="143"/>
      <c r="X187" s="62"/>
      <c r="Y187" s="64"/>
      <c r="Z187" s="143"/>
      <c r="AA187" s="143"/>
      <c r="AB187" s="62"/>
      <c r="AC187" s="64"/>
      <c r="AD187" s="64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133"/>
      <c r="BD187" s="133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</row>
    <row r="188" ht="15.75" customHeight="1">
      <c r="A188" s="51"/>
      <c r="B188" s="117" t="s">
        <v>398</v>
      </c>
      <c r="C188" s="12"/>
      <c r="D188" s="55"/>
      <c r="E188" s="53"/>
      <c r="F188" s="53"/>
      <c r="G188" s="53"/>
      <c r="H188" s="53"/>
      <c r="I188" s="55"/>
      <c r="J188" s="56"/>
      <c r="K188" s="56"/>
      <c r="L188" s="56"/>
      <c r="M188" s="56"/>
      <c r="N188" s="56"/>
      <c r="O188" s="56"/>
      <c r="P188" s="57"/>
      <c r="Q188" s="53"/>
      <c r="R188" s="57"/>
      <c r="S188" s="53"/>
      <c r="T188" s="53"/>
      <c r="U188" s="118"/>
      <c r="V188" s="118"/>
      <c r="W188" s="118"/>
      <c r="X188" s="53"/>
      <c r="Y188" s="53"/>
      <c r="Z188" s="118"/>
      <c r="AA188" s="118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7"/>
      <c r="AT188" s="57"/>
      <c r="AU188" s="57"/>
      <c r="AV188" s="57"/>
      <c r="AW188" s="57"/>
      <c r="AX188" s="57"/>
      <c r="AY188" s="53"/>
      <c r="AZ188" s="59"/>
      <c r="BA188" s="59"/>
      <c r="BB188" s="59"/>
      <c r="BC188" s="152"/>
      <c r="BD188" s="152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</row>
    <row r="189" ht="15.75" customHeight="1">
      <c r="A189" s="83">
        <v>1.0</v>
      </c>
      <c r="B189" s="66">
        <v>147733.0</v>
      </c>
      <c r="C189" s="128" t="s">
        <v>399</v>
      </c>
      <c r="D189" s="128" t="s">
        <v>400</v>
      </c>
      <c r="E189" s="67" t="s">
        <v>353</v>
      </c>
      <c r="F189" s="67" t="s">
        <v>353</v>
      </c>
      <c r="G189" s="68" t="s">
        <v>79</v>
      </c>
      <c r="H189" s="135" t="s">
        <v>354</v>
      </c>
      <c r="I189" s="69" t="s">
        <v>401</v>
      </c>
      <c r="J189" s="64" t="s">
        <v>159</v>
      </c>
      <c r="K189" s="136"/>
      <c r="L189" s="90"/>
      <c r="M189" s="73" t="s">
        <v>74</v>
      </c>
      <c r="N189" s="81">
        <v>0.6</v>
      </c>
      <c r="O189" s="72">
        <v>0.92</v>
      </c>
      <c r="P189" s="68">
        <v>4.0</v>
      </c>
      <c r="Q189" s="68">
        <v>4.0</v>
      </c>
      <c r="R189" s="68">
        <v>4.0</v>
      </c>
      <c r="S189" s="68">
        <v>1.0</v>
      </c>
      <c r="T189" s="67" t="s">
        <v>69</v>
      </c>
      <c r="U189" s="84">
        <v>221.8</v>
      </c>
      <c r="V189" s="84">
        <v>172.3</v>
      </c>
      <c r="W189" s="68">
        <v>2.0</v>
      </c>
      <c r="X189" s="72">
        <f t="shared" ref="X189:X190" si="61">(U189-V189)/U189</f>
        <v>0.2231740307</v>
      </c>
      <c r="Y189" s="68" t="s">
        <v>74</v>
      </c>
      <c r="Z189" s="68" t="s">
        <v>75</v>
      </c>
      <c r="AA189" s="68" t="s">
        <v>75</v>
      </c>
      <c r="AB189" s="68" t="s">
        <v>75</v>
      </c>
      <c r="AC189" s="68" t="s">
        <v>75</v>
      </c>
      <c r="AD189" s="68">
        <v>22.0</v>
      </c>
      <c r="AE189" s="68">
        <v>1.0</v>
      </c>
      <c r="AF189" s="68" t="s">
        <v>76</v>
      </c>
      <c r="AG189" s="67" t="s">
        <v>69</v>
      </c>
      <c r="AH189" s="95">
        <v>0.35</v>
      </c>
      <c r="AI189" s="67" t="s">
        <v>69</v>
      </c>
      <c r="AJ189" s="95">
        <v>0.66</v>
      </c>
      <c r="AK189" s="67" t="s">
        <v>69</v>
      </c>
      <c r="AL189" s="68">
        <v>7.0</v>
      </c>
      <c r="AM189" s="68">
        <v>2.0</v>
      </c>
      <c r="AN189" s="68">
        <v>3.0</v>
      </c>
      <c r="AO189" s="68">
        <v>1.0</v>
      </c>
      <c r="AP189" s="68" t="s">
        <v>69</v>
      </c>
      <c r="AQ189" s="68">
        <v>3.0</v>
      </c>
      <c r="AR189" s="68">
        <v>1.0</v>
      </c>
      <c r="AS189" s="68">
        <v>2.0</v>
      </c>
      <c r="AT189" s="68">
        <v>1.0</v>
      </c>
      <c r="AU189" s="68">
        <v>1.0</v>
      </c>
      <c r="AV189" s="68">
        <v>1.0</v>
      </c>
      <c r="AW189" s="68">
        <v>1.0</v>
      </c>
      <c r="AX189" s="68">
        <v>1.0</v>
      </c>
      <c r="AY189" s="68">
        <v>1.0</v>
      </c>
      <c r="AZ189" s="68" t="str">
        <f t="shared" ref="AZ189:AZ191" si="62">P189+Q189+R189+S189+AD189+AE189+AG189+AL189+AM189+AN189+AO189+AQ189+AS189+AT189+AU189+AV189+AW189+AX189+AY189</f>
        <v>#VALUE!</v>
      </c>
      <c r="BA189" s="72" t="str">
        <f t="shared" ref="BA189:BA190" si="63">AZ189/55</f>
        <v>#VALUE!</v>
      </c>
      <c r="BB189" s="68" t="s">
        <v>77</v>
      </c>
      <c r="BC189" s="140"/>
      <c r="BD189" s="140"/>
      <c r="BE189" s="74" t="str">
        <f t="shared" ref="BE189:BE191" si="64">IF(O189&gt;60%,"YES","No")</f>
        <v>YES</v>
      </c>
      <c r="BF189" s="62" t="str">
        <f t="shared" ref="BF189:BF191" si="65">C189</f>
        <v>HCA Good Sam Replacement Hosp </v>
      </c>
      <c r="BG189" s="75" t="str">
        <f t="shared" ref="BG189:BG191" si="66">I189</f>
        <v>Vu / Omar / ERIC D. (SPM)</v>
      </c>
      <c r="BH189" s="75" t="str">
        <f t="shared" ref="BH189:BH191" si="67">IF(BA189&gt;65%,"No need to contact","need to contact")</f>
        <v>#VALUE!</v>
      </c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</row>
    <row r="190" ht="15.75" customHeight="1">
      <c r="A190" s="83"/>
      <c r="B190" s="83">
        <v>147733.1</v>
      </c>
      <c r="C190" s="134" t="s">
        <v>402</v>
      </c>
      <c r="D190" s="128" t="s">
        <v>400</v>
      </c>
      <c r="E190" s="73" t="s">
        <v>74</v>
      </c>
      <c r="F190" s="67"/>
      <c r="G190" s="68" t="s">
        <v>79</v>
      </c>
      <c r="H190" s="135" t="s">
        <v>354</v>
      </c>
      <c r="I190" s="69" t="s">
        <v>403</v>
      </c>
      <c r="J190" s="68" t="s">
        <v>159</v>
      </c>
      <c r="K190" s="136"/>
      <c r="L190" s="90"/>
      <c r="M190" s="73" t="s">
        <v>74</v>
      </c>
      <c r="N190" s="81">
        <v>0.55</v>
      </c>
      <c r="O190" s="72">
        <v>0.84</v>
      </c>
      <c r="P190" s="68">
        <v>4.0</v>
      </c>
      <c r="Q190" s="68">
        <v>4.0</v>
      </c>
      <c r="R190" s="68">
        <v>3.0</v>
      </c>
      <c r="S190" s="68">
        <v>1.0</v>
      </c>
      <c r="T190" s="68" t="s">
        <v>217</v>
      </c>
      <c r="U190" s="68">
        <v>221.8</v>
      </c>
      <c r="V190" s="68">
        <v>172.3</v>
      </c>
      <c r="W190" s="68"/>
      <c r="X190" s="72">
        <f t="shared" si="61"/>
        <v>0.2231740307</v>
      </c>
      <c r="Y190" s="68" t="s">
        <v>74</v>
      </c>
      <c r="Z190" s="68" t="s">
        <v>75</v>
      </c>
      <c r="AA190" s="68" t="s">
        <v>75</v>
      </c>
      <c r="AB190" s="68" t="s">
        <v>75</v>
      </c>
      <c r="AC190" s="68" t="s">
        <v>75</v>
      </c>
      <c r="AD190" s="68">
        <v>22.0</v>
      </c>
      <c r="AE190" s="68">
        <v>1.0</v>
      </c>
      <c r="AF190" s="68" t="s">
        <v>76</v>
      </c>
      <c r="AG190" s="68" t="s">
        <v>69</v>
      </c>
      <c r="AH190" s="72">
        <v>0.35</v>
      </c>
      <c r="AI190" s="68" t="s">
        <v>74</v>
      </c>
      <c r="AJ190" s="72">
        <v>0.66</v>
      </c>
      <c r="AK190" s="68" t="s">
        <v>69</v>
      </c>
      <c r="AL190" s="68">
        <v>7.0</v>
      </c>
      <c r="AM190" s="68">
        <v>2.0</v>
      </c>
      <c r="AN190" s="68">
        <v>3.0</v>
      </c>
      <c r="AO190" s="68">
        <v>1.0</v>
      </c>
      <c r="AP190" s="68" t="s">
        <v>69</v>
      </c>
      <c r="AQ190" s="68">
        <v>3.0</v>
      </c>
      <c r="AR190" s="68">
        <v>1.0</v>
      </c>
      <c r="AS190" s="68">
        <v>1.0</v>
      </c>
      <c r="AT190" s="68">
        <v>1.0</v>
      </c>
      <c r="AU190" s="68">
        <v>1.0</v>
      </c>
      <c r="AV190" s="68">
        <v>1.0</v>
      </c>
      <c r="AW190" s="68">
        <v>1.0</v>
      </c>
      <c r="AX190" s="68">
        <v>1.0</v>
      </c>
      <c r="AY190" s="68">
        <v>1.0</v>
      </c>
      <c r="AZ190" s="68" t="str">
        <f t="shared" si="62"/>
        <v>#VALUE!</v>
      </c>
      <c r="BA190" s="72" t="str">
        <f t="shared" si="63"/>
        <v>#VALUE!</v>
      </c>
      <c r="BB190" s="68" t="s">
        <v>77</v>
      </c>
      <c r="BC190" s="140"/>
      <c r="BD190" s="140"/>
      <c r="BE190" s="74" t="str">
        <f t="shared" si="64"/>
        <v>YES</v>
      </c>
      <c r="BF190" s="62" t="str">
        <f t="shared" si="65"/>
        <v>HCA Good Sam Powerhouse (this is the same as above)</v>
      </c>
      <c r="BG190" s="75" t="str">
        <f t="shared" si="66"/>
        <v>Vu / Lawrence</v>
      </c>
      <c r="BH190" s="75" t="str">
        <f t="shared" si="67"/>
        <v>#VALUE!</v>
      </c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</row>
    <row r="191" ht="15.75" customHeight="1">
      <c r="A191" s="79">
        <v>2.0</v>
      </c>
      <c r="B191" s="76">
        <v>147808.0</v>
      </c>
      <c r="C191" s="77" t="s">
        <v>404</v>
      </c>
      <c r="D191" s="128" t="s">
        <v>400</v>
      </c>
      <c r="E191" s="67" t="s">
        <v>69</v>
      </c>
      <c r="F191" s="67"/>
      <c r="G191" s="68" t="s">
        <v>79</v>
      </c>
      <c r="H191" s="135" t="s">
        <v>354</v>
      </c>
      <c r="I191" s="69" t="s">
        <v>405</v>
      </c>
      <c r="J191" s="68" t="s">
        <v>159</v>
      </c>
      <c r="K191" s="136"/>
      <c r="L191" s="136"/>
      <c r="M191" s="136"/>
      <c r="N191" s="72">
        <v>0.0</v>
      </c>
      <c r="O191" s="72">
        <v>0.81</v>
      </c>
      <c r="P191" s="68">
        <v>3.0</v>
      </c>
      <c r="Q191" s="68">
        <v>0.0</v>
      </c>
      <c r="R191" s="68">
        <v>0.0</v>
      </c>
      <c r="S191" s="68">
        <v>0.0</v>
      </c>
      <c r="T191" s="67" t="s">
        <v>69</v>
      </c>
      <c r="U191" s="144">
        <v>251.0</v>
      </c>
      <c r="V191" s="153">
        <v>193.0</v>
      </c>
      <c r="W191" s="68">
        <v>1.0</v>
      </c>
      <c r="X191" s="72">
        <v>0.23</v>
      </c>
      <c r="Y191" s="68" t="s">
        <v>74</v>
      </c>
      <c r="Z191" s="130" t="s">
        <v>75</v>
      </c>
      <c r="AA191" s="130" t="s">
        <v>75</v>
      </c>
      <c r="AB191" s="130" t="s">
        <v>75</v>
      </c>
      <c r="AC191" s="130" t="s">
        <v>75</v>
      </c>
      <c r="AD191" s="68">
        <v>22.0</v>
      </c>
      <c r="AE191" s="68">
        <v>1.0</v>
      </c>
      <c r="AF191" s="68" t="s">
        <v>196</v>
      </c>
      <c r="AG191" s="68" t="s">
        <v>74</v>
      </c>
      <c r="AH191" s="72" t="s">
        <v>74</v>
      </c>
      <c r="AI191" s="132" t="s">
        <v>74</v>
      </c>
      <c r="AJ191" s="72" t="s">
        <v>74</v>
      </c>
      <c r="AK191" s="68" t="s">
        <v>74</v>
      </c>
      <c r="AL191" s="68">
        <v>4.0</v>
      </c>
      <c r="AM191" s="68">
        <v>2.0</v>
      </c>
      <c r="AN191" s="68">
        <v>2.0</v>
      </c>
      <c r="AO191" s="68">
        <v>1.0</v>
      </c>
      <c r="AP191" s="68" t="s">
        <v>74</v>
      </c>
      <c r="AQ191" s="68">
        <v>3.0</v>
      </c>
      <c r="AR191" s="68">
        <v>1.0</v>
      </c>
      <c r="AS191" s="68">
        <v>1.0</v>
      </c>
      <c r="AT191" s="68">
        <v>1.0</v>
      </c>
      <c r="AU191" s="68">
        <v>1.0</v>
      </c>
      <c r="AV191" s="68">
        <v>1.0</v>
      </c>
      <c r="AW191" s="68">
        <v>0.0</v>
      </c>
      <c r="AX191" s="68">
        <v>0.0</v>
      </c>
      <c r="AY191" s="68">
        <v>0.0</v>
      </c>
      <c r="AZ191" s="68" t="str">
        <f t="shared" si="62"/>
        <v>#VALUE!</v>
      </c>
      <c r="BA191" s="72" t="str">
        <f>AZ191/67</f>
        <v>#VALUE!</v>
      </c>
      <c r="BB191" s="68" t="s">
        <v>77</v>
      </c>
      <c r="BC191" s="140"/>
      <c r="BD191" s="140"/>
      <c r="BE191" s="74" t="str">
        <f t="shared" si="64"/>
        <v>YES</v>
      </c>
      <c r="BF191" s="62" t="str">
        <f t="shared" si="65"/>
        <v>HCA South Strand Medical Center - This is the last year</v>
      </c>
      <c r="BG191" s="75" t="str">
        <f t="shared" si="66"/>
        <v>Matt Enslin</v>
      </c>
      <c r="BH191" s="75" t="str">
        <f t="shared" si="67"/>
        <v>#VALUE!</v>
      </c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</row>
    <row r="192" ht="15.75" customHeight="1">
      <c r="A192" s="79">
        <v>3.0</v>
      </c>
      <c r="B192" s="76">
        <v>147935.0</v>
      </c>
      <c r="C192" s="76" t="s">
        <v>406</v>
      </c>
      <c r="D192" s="128" t="s">
        <v>400</v>
      </c>
      <c r="E192" s="67" t="s">
        <v>353</v>
      </c>
      <c r="F192" s="67"/>
      <c r="G192" s="68" t="s">
        <v>96</v>
      </c>
      <c r="H192" s="135" t="s">
        <v>354</v>
      </c>
      <c r="I192" s="69" t="s">
        <v>407</v>
      </c>
      <c r="J192" s="68"/>
      <c r="K192" s="136"/>
      <c r="L192" s="136"/>
      <c r="M192" s="136"/>
      <c r="N192" s="72"/>
      <c r="O192" s="72">
        <v>0.32</v>
      </c>
      <c r="P192" s="68">
        <v>4.0</v>
      </c>
      <c r="Q192" s="68">
        <v>2.0</v>
      </c>
      <c r="R192" s="68">
        <v>0.0</v>
      </c>
      <c r="S192" s="68">
        <v>0.0</v>
      </c>
      <c r="T192" s="68" t="s">
        <v>82</v>
      </c>
      <c r="U192" s="68" t="s">
        <v>82</v>
      </c>
      <c r="V192" s="68" t="s">
        <v>82</v>
      </c>
      <c r="W192" s="68" t="s">
        <v>82</v>
      </c>
      <c r="X192" s="68" t="s">
        <v>82</v>
      </c>
      <c r="Y192" s="68" t="s">
        <v>82</v>
      </c>
      <c r="Z192" s="68" t="s">
        <v>82</v>
      </c>
      <c r="AA192" s="68" t="s">
        <v>82</v>
      </c>
      <c r="AB192" s="68" t="s">
        <v>82</v>
      </c>
      <c r="AC192" s="68" t="s">
        <v>82</v>
      </c>
      <c r="AD192" s="68">
        <v>0.0</v>
      </c>
      <c r="AE192" s="68">
        <v>0.0</v>
      </c>
      <c r="AF192" s="68" t="s">
        <v>196</v>
      </c>
      <c r="AG192" s="68" t="s">
        <v>74</v>
      </c>
      <c r="AH192" s="68" t="s">
        <v>82</v>
      </c>
      <c r="AI192" s="68" t="s">
        <v>82</v>
      </c>
      <c r="AJ192" s="68" t="s">
        <v>82</v>
      </c>
      <c r="AK192" s="68" t="s">
        <v>82</v>
      </c>
      <c r="AL192" s="68">
        <v>0.0</v>
      </c>
      <c r="AM192" s="68">
        <v>0.0</v>
      </c>
      <c r="AN192" s="68">
        <v>0.0</v>
      </c>
      <c r="AO192" s="68">
        <v>1.0</v>
      </c>
      <c r="AP192" s="68" t="s">
        <v>74</v>
      </c>
      <c r="AQ192" s="68">
        <v>0.0</v>
      </c>
      <c r="AR192" s="68">
        <v>0.0</v>
      </c>
      <c r="AS192" s="68">
        <v>1.0</v>
      </c>
      <c r="AT192" s="68">
        <v>0.0</v>
      </c>
      <c r="AU192" s="68">
        <v>0.0</v>
      </c>
      <c r="AV192" s="68">
        <v>0.0</v>
      </c>
      <c r="AW192" s="68">
        <v>0.0</v>
      </c>
      <c r="AX192" s="68">
        <v>0.0</v>
      </c>
      <c r="AY192" s="68">
        <v>0.0</v>
      </c>
      <c r="AZ192" s="68"/>
      <c r="BA192" s="72"/>
      <c r="BB192" s="68"/>
      <c r="BC192" s="140"/>
      <c r="BD192" s="140"/>
      <c r="BE192" s="74"/>
      <c r="BF192" s="62"/>
      <c r="BG192" s="75"/>
      <c r="BH192" s="75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</row>
    <row r="193" ht="15.75" customHeight="1">
      <c r="A193" s="79">
        <v>4.0</v>
      </c>
      <c r="B193" s="76">
        <v>147811.0</v>
      </c>
      <c r="C193" s="77" t="s">
        <v>408</v>
      </c>
      <c r="D193" s="128" t="s">
        <v>400</v>
      </c>
      <c r="E193" s="67" t="s">
        <v>353</v>
      </c>
      <c r="F193" s="67"/>
      <c r="G193" s="64" t="s">
        <v>409</v>
      </c>
      <c r="H193" s="135" t="s">
        <v>354</v>
      </c>
      <c r="I193" s="69" t="s">
        <v>410</v>
      </c>
      <c r="J193" s="68" t="s">
        <v>159</v>
      </c>
      <c r="K193" s="136"/>
      <c r="L193" s="136"/>
      <c r="M193" s="136"/>
      <c r="N193" s="72">
        <v>0.0</v>
      </c>
      <c r="O193" s="72">
        <v>0.97</v>
      </c>
      <c r="P193" s="68">
        <v>4.0</v>
      </c>
      <c r="Q193" s="68">
        <v>3.0</v>
      </c>
      <c r="R193" s="68">
        <v>4.0</v>
      </c>
      <c r="S193" s="68">
        <v>6.0</v>
      </c>
      <c r="T193" s="68" t="s">
        <v>74</v>
      </c>
      <c r="U193" s="144">
        <v>323.0</v>
      </c>
      <c r="V193" s="153">
        <v>222.87</v>
      </c>
      <c r="W193" s="68">
        <v>1.0</v>
      </c>
      <c r="X193" s="72">
        <f t="shared" ref="X193:X194" si="68">(U193-V193)/U193</f>
        <v>0.31</v>
      </c>
      <c r="Y193" s="68" t="s">
        <v>74</v>
      </c>
      <c r="Z193" s="130" t="s">
        <v>75</v>
      </c>
      <c r="AA193" s="130" t="s">
        <v>75</v>
      </c>
      <c r="AB193" s="130" t="s">
        <v>75</v>
      </c>
      <c r="AC193" s="130" t="s">
        <v>75</v>
      </c>
      <c r="AD193" s="68">
        <v>3.0</v>
      </c>
      <c r="AE193" s="68">
        <v>0.0</v>
      </c>
      <c r="AF193" s="68" t="s">
        <v>196</v>
      </c>
      <c r="AG193" s="68" t="s">
        <v>74</v>
      </c>
      <c r="AH193" s="131">
        <v>0.35</v>
      </c>
      <c r="AI193" s="67" t="s">
        <v>69</v>
      </c>
      <c r="AJ193" s="68" t="s">
        <v>82</v>
      </c>
      <c r="AK193" s="68" t="s">
        <v>82</v>
      </c>
      <c r="AL193" s="68">
        <v>7.0</v>
      </c>
      <c r="AM193" s="68">
        <v>2.0</v>
      </c>
      <c r="AN193" s="68">
        <v>3.0</v>
      </c>
      <c r="AO193" s="68">
        <v>1.0</v>
      </c>
      <c r="AP193" s="68" t="s">
        <v>74</v>
      </c>
      <c r="AQ193" s="68">
        <v>3.0</v>
      </c>
      <c r="AR193" s="68">
        <v>1.0</v>
      </c>
      <c r="AS193" s="68">
        <v>1.0</v>
      </c>
      <c r="AT193" s="68">
        <v>1.0</v>
      </c>
      <c r="AU193" s="68">
        <v>1.0</v>
      </c>
      <c r="AV193" s="68">
        <v>1.0</v>
      </c>
      <c r="AW193" s="68">
        <v>1.0</v>
      </c>
      <c r="AX193" s="68">
        <v>1.0</v>
      </c>
      <c r="AY193" s="68">
        <v>1.0</v>
      </c>
      <c r="AZ193" s="68" t="str">
        <f t="shared" ref="AZ193:AZ194" si="69">P193+Q193+R193+S193+AD193+AE193+AG193+AL193+AM193+AN193+AO193+AQ193+AS193+AT193+AU193+AV193+AW193+AX193+AY193</f>
        <v>#VALUE!</v>
      </c>
      <c r="BA193" s="72" t="str">
        <f t="shared" ref="BA193:BA194" si="70">AZ193/67</f>
        <v>#VALUE!</v>
      </c>
      <c r="BB193" s="68" t="s">
        <v>77</v>
      </c>
      <c r="BC193" s="140"/>
      <c r="BD193" s="140"/>
      <c r="BE193" s="74" t="str">
        <f t="shared" ref="BE193:BE201" si="71">IF(O193&gt;60%,"YES","No")</f>
        <v>YES</v>
      </c>
      <c r="BF193" s="62" t="str">
        <f t="shared" ref="BF193:BF194" si="72">C193</f>
        <v>Encompass Health Charleston (MUSC) - This is the last report</v>
      </c>
      <c r="BG193" s="75" t="str">
        <f t="shared" ref="BG193:BG194" si="73">I193</f>
        <v>Tabita Daolio</v>
      </c>
      <c r="BH193" s="75" t="str">
        <f t="shared" ref="BH193:BH194" si="74">IF(BA193&gt;65%,"No need to contact","need to contact")</f>
        <v>#VALUE!</v>
      </c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</row>
    <row r="194" ht="15.75" customHeight="1">
      <c r="A194" s="79">
        <v>5.0</v>
      </c>
      <c r="B194" s="76">
        <v>147817.0</v>
      </c>
      <c r="C194" s="76" t="s">
        <v>411</v>
      </c>
      <c r="D194" s="128" t="s">
        <v>400</v>
      </c>
      <c r="E194" s="67" t="s">
        <v>353</v>
      </c>
      <c r="F194" s="69" t="s">
        <v>266</v>
      </c>
      <c r="G194" s="68" t="s">
        <v>96</v>
      </c>
      <c r="H194" s="69"/>
      <c r="I194" s="69" t="s">
        <v>412</v>
      </c>
      <c r="J194" s="68"/>
      <c r="K194" s="136"/>
      <c r="L194" s="136"/>
      <c r="M194" s="136"/>
      <c r="N194" s="72"/>
      <c r="O194" s="72">
        <v>0.76</v>
      </c>
      <c r="P194" s="68">
        <v>4.0</v>
      </c>
      <c r="Q194" s="68">
        <v>1.0</v>
      </c>
      <c r="R194" s="68">
        <v>3.0</v>
      </c>
      <c r="S194" s="68">
        <v>0.0</v>
      </c>
      <c r="T194" s="67" t="s">
        <v>69</v>
      </c>
      <c r="U194" s="144">
        <v>106.0</v>
      </c>
      <c r="V194" s="153">
        <v>79.15</v>
      </c>
      <c r="W194" s="68">
        <v>1.0</v>
      </c>
      <c r="X194" s="72">
        <f t="shared" si="68"/>
        <v>0.2533018868</v>
      </c>
      <c r="Y194" s="68" t="s">
        <v>74</v>
      </c>
      <c r="Z194" s="130" t="s">
        <v>75</v>
      </c>
      <c r="AA194" s="130" t="s">
        <v>75</v>
      </c>
      <c r="AB194" s="130" t="s">
        <v>75</v>
      </c>
      <c r="AC194" s="130" t="s">
        <v>75</v>
      </c>
      <c r="AD194" s="68">
        <v>22.0</v>
      </c>
      <c r="AE194" s="68">
        <v>1.0</v>
      </c>
      <c r="AF194" s="68" t="s">
        <v>192</v>
      </c>
      <c r="AG194" s="68" t="s">
        <v>74</v>
      </c>
      <c r="AH194" s="72" t="s">
        <v>74</v>
      </c>
      <c r="AI194" s="132" t="s">
        <v>74</v>
      </c>
      <c r="AJ194" s="72" t="s">
        <v>74</v>
      </c>
      <c r="AK194" s="68" t="s">
        <v>74</v>
      </c>
      <c r="AL194" s="68">
        <v>4.0</v>
      </c>
      <c r="AM194" s="68">
        <v>2.0</v>
      </c>
      <c r="AN194" s="68">
        <v>2.0</v>
      </c>
      <c r="AO194" s="68">
        <v>1.0</v>
      </c>
      <c r="AP194" s="68" t="s">
        <v>74</v>
      </c>
      <c r="AQ194" s="68">
        <v>3.0</v>
      </c>
      <c r="AR194" s="68">
        <v>1.0</v>
      </c>
      <c r="AS194" s="68">
        <v>2.0</v>
      </c>
      <c r="AT194" s="68">
        <v>1.0</v>
      </c>
      <c r="AU194" s="68">
        <v>1.0</v>
      </c>
      <c r="AV194" s="68">
        <v>0.0</v>
      </c>
      <c r="AW194" s="68">
        <v>1.0</v>
      </c>
      <c r="AX194" s="68">
        <v>1.0</v>
      </c>
      <c r="AY194" s="68">
        <v>1.0</v>
      </c>
      <c r="AZ194" s="68" t="str">
        <f t="shared" si="69"/>
        <v>#VALUE!</v>
      </c>
      <c r="BA194" s="72" t="str">
        <f t="shared" si="70"/>
        <v>#VALUE!</v>
      </c>
      <c r="BB194" s="68" t="s">
        <v>77</v>
      </c>
      <c r="BC194" s="140"/>
      <c r="BD194" s="140"/>
      <c r="BE194" s="74" t="str">
        <f t="shared" si="71"/>
        <v>YES</v>
      </c>
      <c r="BF194" s="62" t="str">
        <f t="shared" si="72"/>
        <v>HCA-Kyle FSER - This is the last year</v>
      </c>
      <c r="BG194" s="75" t="str">
        <f t="shared" si="73"/>
        <v>Devin Weaver</v>
      </c>
      <c r="BH194" s="75" t="str">
        <f t="shared" si="74"/>
        <v>#VALUE!</v>
      </c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</row>
    <row r="195" ht="15.75" customHeight="1">
      <c r="A195" s="79">
        <v>6.0</v>
      </c>
      <c r="B195" s="76">
        <v>147877.0</v>
      </c>
      <c r="C195" s="76" t="s">
        <v>413</v>
      </c>
      <c r="D195" s="128" t="s">
        <v>400</v>
      </c>
      <c r="E195" s="67" t="s">
        <v>353</v>
      </c>
      <c r="F195" s="69"/>
      <c r="G195" s="68" t="s">
        <v>409</v>
      </c>
      <c r="H195" s="69"/>
      <c r="I195" s="69" t="s">
        <v>414</v>
      </c>
      <c r="J195" s="68"/>
      <c r="K195" s="136"/>
      <c r="L195" s="136"/>
      <c r="M195" s="136"/>
      <c r="N195" s="72"/>
      <c r="O195" s="82">
        <v>0.0</v>
      </c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4"/>
      <c r="BA195" s="64"/>
      <c r="BB195" s="64"/>
      <c r="BC195" s="140"/>
      <c r="BD195" s="140"/>
      <c r="BE195" s="74" t="str">
        <f t="shared" si="71"/>
        <v>No</v>
      </c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</row>
    <row r="196" ht="14.25" customHeight="1">
      <c r="A196" s="79">
        <v>7.0</v>
      </c>
      <c r="B196" s="76">
        <v>147843.0</v>
      </c>
      <c r="C196" s="76" t="s">
        <v>415</v>
      </c>
      <c r="D196" s="128" t="s">
        <v>400</v>
      </c>
      <c r="E196" s="67" t="s">
        <v>353</v>
      </c>
      <c r="F196" s="69"/>
      <c r="G196" s="68" t="s">
        <v>70</v>
      </c>
      <c r="H196" s="69"/>
      <c r="I196" s="69" t="s">
        <v>416</v>
      </c>
      <c r="J196" s="68"/>
      <c r="K196" s="136"/>
      <c r="L196" s="136"/>
      <c r="M196" s="136"/>
      <c r="N196" s="72"/>
      <c r="O196" s="72">
        <v>0.86</v>
      </c>
      <c r="P196" s="68">
        <v>1.0</v>
      </c>
      <c r="Q196" s="68">
        <v>3.0</v>
      </c>
      <c r="R196" s="68">
        <v>4.0</v>
      </c>
      <c r="S196" s="68">
        <v>6.0</v>
      </c>
      <c r="T196" s="68" t="s">
        <v>74</v>
      </c>
      <c r="U196" s="71">
        <v>90.0</v>
      </c>
      <c r="V196" s="71">
        <v>45.0</v>
      </c>
      <c r="W196" s="68">
        <v>1.0</v>
      </c>
      <c r="X196" s="72">
        <f>(U196-V196)/U196</f>
        <v>0.5</v>
      </c>
      <c r="Y196" s="68" t="s">
        <v>74</v>
      </c>
      <c r="Z196" s="130" t="s">
        <v>75</v>
      </c>
      <c r="AA196" s="130" t="s">
        <v>75</v>
      </c>
      <c r="AB196" s="130" t="s">
        <v>75</v>
      </c>
      <c r="AC196" s="130" t="s">
        <v>75</v>
      </c>
      <c r="AD196" s="68">
        <v>16.0</v>
      </c>
      <c r="AE196" s="68">
        <v>0.0</v>
      </c>
      <c r="AF196" s="68" t="s">
        <v>76</v>
      </c>
      <c r="AG196" s="68" t="s">
        <v>74</v>
      </c>
      <c r="AH196" s="95">
        <v>0.22</v>
      </c>
      <c r="AI196" s="68" t="s">
        <v>74</v>
      </c>
      <c r="AJ196" s="95">
        <v>0.59</v>
      </c>
      <c r="AK196" s="67" t="s">
        <v>69</v>
      </c>
      <c r="AL196" s="68">
        <v>10.0</v>
      </c>
      <c r="AM196" s="68">
        <v>2.0</v>
      </c>
      <c r="AN196" s="68">
        <v>1.0</v>
      </c>
      <c r="AO196" s="68">
        <v>1.0</v>
      </c>
      <c r="AP196" s="68" t="s">
        <v>69</v>
      </c>
      <c r="AQ196" s="68">
        <v>3.0</v>
      </c>
      <c r="AR196" s="68">
        <v>0.0</v>
      </c>
      <c r="AS196" s="68">
        <v>2.0</v>
      </c>
      <c r="AT196" s="68">
        <v>1.0</v>
      </c>
      <c r="AU196" s="68">
        <v>1.0</v>
      </c>
      <c r="AV196" s="68">
        <v>1.0</v>
      </c>
      <c r="AW196" s="68">
        <v>1.0</v>
      </c>
      <c r="AX196" s="68">
        <v>1.0</v>
      </c>
      <c r="AY196" s="68">
        <v>1.0</v>
      </c>
      <c r="AZ196" s="64"/>
      <c r="BA196" s="64"/>
      <c r="BB196" s="64"/>
      <c r="BC196" s="140"/>
      <c r="BD196" s="140"/>
      <c r="BE196" s="74" t="str">
        <f t="shared" si="71"/>
        <v>YES</v>
      </c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</row>
    <row r="197" ht="15.75" customHeight="1">
      <c r="A197" s="79">
        <v>8.0</v>
      </c>
      <c r="B197" s="76">
        <v>147866.0</v>
      </c>
      <c r="C197" s="76" t="s">
        <v>417</v>
      </c>
      <c r="D197" s="128" t="s">
        <v>400</v>
      </c>
      <c r="E197" s="67" t="s">
        <v>353</v>
      </c>
      <c r="F197" s="69"/>
      <c r="G197" s="64" t="s">
        <v>96</v>
      </c>
      <c r="H197" s="69"/>
      <c r="I197" s="69" t="s">
        <v>416</v>
      </c>
      <c r="J197" s="68"/>
      <c r="K197" s="136"/>
      <c r="L197" s="136"/>
      <c r="M197" s="136"/>
      <c r="N197" s="72"/>
      <c r="O197" s="72">
        <v>0.2</v>
      </c>
      <c r="P197" s="68">
        <v>1.0</v>
      </c>
      <c r="Q197" s="68">
        <v>0.0</v>
      </c>
      <c r="R197" s="68">
        <v>0.0</v>
      </c>
      <c r="S197" s="68">
        <v>0.0</v>
      </c>
      <c r="T197" s="68" t="s">
        <v>82</v>
      </c>
      <c r="U197" s="68" t="s">
        <v>82</v>
      </c>
      <c r="V197" s="68" t="s">
        <v>82</v>
      </c>
      <c r="W197" s="68" t="s">
        <v>82</v>
      </c>
      <c r="X197" s="68" t="s">
        <v>82</v>
      </c>
      <c r="Y197" s="68" t="s">
        <v>82</v>
      </c>
      <c r="Z197" s="68" t="s">
        <v>82</v>
      </c>
      <c r="AA197" s="68" t="s">
        <v>82</v>
      </c>
      <c r="AB197" s="68" t="s">
        <v>82</v>
      </c>
      <c r="AC197" s="68" t="s">
        <v>82</v>
      </c>
      <c r="AD197" s="68">
        <v>2.0</v>
      </c>
      <c r="AE197" s="68">
        <v>0.0</v>
      </c>
      <c r="AF197" s="68" t="s">
        <v>196</v>
      </c>
      <c r="AG197" s="68" t="s">
        <v>74</v>
      </c>
      <c r="AH197" s="68" t="s">
        <v>82</v>
      </c>
      <c r="AI197" s="68" t="s">
        <v>82</v>
      </c>
      <c r="AJ197" s="68" t="s">
        <v>82</v>
      </c>
      <c r="AK197" s="68" t="s">
        <v>82</v>
      </c>
      <c r="AL197" s="68">
        <v>0.0</v>
      </c>
      <c r="AM197" s="68">
        <v>0.0</v>
      </c>
      <c r="AN197" s="68">
        <v>0.0</v>
      </c>
      <c r="AO197" s="68">
        <v>0.0</v>
      </c>
      <c r="AP197" s="68" t="s">
        <v>74</v>
      </c>
      <c r="AQ197" s="68">
        <v>0.0</v>
      </c>
      <c r="AR197" s="68">
        <v>0.0</v>
      </c>
      <c r="AS197" s="68">
        <v>0.0</v>
      </c>
      <c r="AT197" s="68">
        <v>0.0</v>
      </c>
      <c r="AU197" s="68">
        <v>0.0</v>
      </c>
      <c r="AV197" s="68">
        <v>0.0</v>
      </c>
      <c r="AW197" s="68">
        <v>0.0</v>
      </c>
      <c r="AX197" s="68">
        <v>0.0</v>
      </c>
      <c r="AY197" s="68">
        <v>0.0</v>
      </c>
      <c r="AZ197" s="64"/>
      <c r="BA197" s="64"/>
      <c r="BB197" s="64"/>
      <c r="BC197" s="140"/>
      <c r="BD197" s="140"/>
      <c r="BE197" s="74" t="str">
        <f t="shared" si="71"/>
        <v>No</v>
      </c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</row>
    <row r="198" ht="15.75" customHeight="1">
      <c r="A198" s="79">
        <v>9.0</v>
      </c>
      <c r="B198" s="76">
        <v>147924.0</v>
      </c>
      <c r="C198" s="76" t="s">
        <v>418</v>
      </c>
      <c r="D198" s="128" t="s">
        <v>400</v>
      </c>
      <c r="E198" s="67" t="s">
        <v>69</v>
      </c>
      <c r="F198" s="67"/>
      <c r="G198" s="68" t="s">
        <v>240</v>
      </c>
      <c r="H198" s="135"/>
      <c r="I198" s="69" t="s">
        <v>419</v>
      </c>
      <c r="J198" s="68"/>
      <c r="K198" s="136"/>
      <c r="L198" s="136"/>
      <c r="M198" s="136"/>
      <c r="N198" s="72"/>
      <c r="O198" s="72">
        <v>0.51</v>
      </c>
      <c r="P198" s="68">
        <v>4.0</v>
      </c>
      <c r="Q198" s="68">
        <v>2.0</v>
      </c>
      <c r="R198" s="68">
        <v>4.0</v>
      </c>
      <c r="S198" s="68">
        <v>6.0</v>
      </c>
      <c r="T198" s="68" t="s">
        <v>75</v>
      </c>
      <c r="U198" s="68" t="s">
        <v>75</v>
      </c>
      <c r="V198" s="68" t="s">
        <v>75</v>
      </c>
      <c r="W198" s="68" t="s">
        <v>75</v>
      </c>
      <c r="X198" s="68" t="s">
        <v>75</v>
      </c>
      <c r="Y198" s="68" t="s">
        <v>75</v>
      </c>
      <c r="Z198" s="68" t="s">
        <v>82</v>
      </c>
      <c r="AA198" s="68" t="s">
        <v>82</v>
      </c>
      <c r="AB198" s="68" t="s">
        <v>82</v>
      </c>
      <c r="AC198" s="68" t="s">
        <v>82</v>
      </c>
      <c r="AD198" s="68">
        <v>8.0</v>
      </c>
      <c r="AE198" s="68">
        <v>0.0</v>
      </c>
      <c r="AF198" s="68" t="s">
        <v>196</v>
      </c>
      <c r="AG198" s="68" t="s">
        <v>74</v>
      </c>
      <c r="AH198" s="68" t="s">
        <v>82</v>
      </c>
      <c r="AI198" s="68" t="s">
        <v>82</v>
      </c>
      <c r="AJ198" s="68" t="s">
        <v>82</v>
      </c>
      <c r="AK198" s="68" t="s">
        <v>82</v>
      </c>
      <c r="AL198" s="68">
        <v>0.0</v>
      </c>
      <c r="AM198" s="68">
        <v>0.0</v>
      </c>
      <c r="AN198" s="68">
        <v>0.0</v>
      </c>
      <c r="AO198" s="68">
        <v>0.0</v>
      </c>
      <c r="AP198" s="68" t="s">
        <v>74</v>
      </c>
      <c r="AQ198" s="68">
        <v>0.0</v>
      </c>
      <c r="AR198" s="68">
        <v>0.0</v>
      </c>
      <c r="AS198" s="68">
        <v>0.0</v>
      </c>
      <c r="AT198" s="68">
        <v>0.0</v>
      </c>
      <c r="AU198" s="68">
        <v>0.0</v>
      </c>
      <c r="AV198" s="68">
        <v>0.0</v>
      </c>
      <c r="AW198" s="68">
        <v>0.0</v>
      </c>
      <c r="AX198" s="68">
        <v>0.0</v>
      </c>
      <c r="AY198" s="68">
        <v>1.0</v>
      </c>
      <c r="AZ198" s="64"/>
      <c r="BA198" s="64"/>
      <c r="BB198" s="64"/>
      <c r="BC198" s="140"/>
      <c r="BD198" s="140"/>
      <c r="BE198" s="74" t="str">
        <f t="shared" si="71"/>
        <v>No</v>
      </c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</row>
    <row r="199" ht="15.75" customHeight="1">
      <c r="A199" s="79">
        <v>10.0</v>
      </c>
      <c r="B199" s="66">
        <v>147894.0</v>
      </c>
      <c r="C199" s="128" t="s">
        <v>420</v>
      </c>
      <c r="D199" s="128" t="s">
        <v>400</v>
      </c>
      <c r="E199" s="67" t="s">
        <v>69</v>
      </c>
      <c r="F199" s="62"/>
      <c r="G199" s="64" t="s">
        <v>79</v>
      </c>
      <c r="H199" s="62"/>
      <c r="I199" s="65" t="s">
        <v>412</v>
      </c>
      <c r="J199" s="68"/>
      <c r="K199" s="136"/>
      <c r="L199" s="136"/>
      <c r="M199" s="136"/>
      <c r="N199" s="72"/>
      <c r="O199" s="72">
        <v>0.48</v>
      </c>
      <c r="P199" s="68">
        <v>3.0</v>
      </c>
      <c r="Q199" s="68">
        <v>0.0</v>
      </c>
      <c r="R199" s="68">
        <v>3.0</v>
      </c>
      <c r="S199" s="68">
        <v>0.0</v>
      </c>
      <c r="T199" s="68" t="s">
        <v>74</v>
      </c>
      <c r="U199" s="137" t="s">
        <v>74</v>
      </c>
      <c r="V199" s="137" t="s">
        <v>74</v>
      </c>
      <c r="W199" s="68" t="s">
        <v>82</v>
      </c>
      <c r="X199" s="68" t="s">
        <v>74</v>
      </c>
      <c r="Y199" s="68" t="s">
        <v>74</v>
      </c>
      <c r="Z199" s="130" t="s">
        <v>75</v>
      </c>
      <c r="AA199" s="130" t="s">
        <v>75</v>
      </c>
      <c r="AB199" s="130" t="s">
        <v>75</v>
      </c>
      <c r="AC199" s="130" t="s">
        <v>75</v>
      </c>
      <c r="AD199" s="68">
        <v>0.0</v>
      </c>
      <c r="AE199" s="137">
        <v>0.0</v>
      </c>
      <c r="AF199" s="68" t="s">
        <v>196</v>
      </c>
      <c r="AG199" s="68" t="s">
        <v>74</v>
      </c>
      <c r="AH199" s="68" t="s">
        <v>82</v>
      </c>
      <c r="AI199" s="68" t="s">
        <v>82</v>
      </c>
      <c r="AJ199" s="68" t="s">
        <v>82</v>
      </c>
      <c r="AK199" s="68" t="s">
        <v>82</v>
      </c>
      <c r="AL199" s="68">
        <v>0.0</v>
      </c>
      <c r="AM199" s="68">
        <v>0.0</v>
      </c>
      <c r="AN199" s="68">
        <v>0.0</v>
      </c>
      <c r="AO199" s="68">
        <v>0.0</v>
      </c>
      <c r="AP199" s="68" t="s">
        <v>69</v>
      </c>
      <c r="AQ199" s="68">
        <v>3.0</v>
      </c>
      <c r="AR199" s="68">
        <v>0.0</v>
      </c>
      <c r="AS199" s="68">
        <v>1.0</v>
      </c>
      <c r="AT199" s="68">
        <v>1.0</v>
      </c>
      <c r="AU199" s="68">
        <v>1.0</v>
      </c>
      <c r="AV199" s="68">
        <v>0.0</v>
      </c>
      <c r="AW199" s="68">
        <v>1.0</v>
      </c>
      <c r="AX199" s="68">
        <v>1.0</v>
      </c>
      <c r="AY199" s="68">
        <v>1.0</v>
      </c>
      <c r="AZ199" s="64"/>
      <c r="BA199" s="64"/>
      <c r="BB199" s="64"/>
      <c r="BC199" s="140"/>
      <c r="BD199" s="140"/>
      <c r="BE199" s="74" t="str">
        <f t="shared" si="71"/>
        <v>No</v>
      </c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</row>
    <row r="200" ht="15.75" customHeight="1">
      <c r="A200" s="79">
        <v>11.0</v>
      </c>
      <c r="B200" s="66">
        <v>147893.0</v>
      </c>
      <c r="C200" s="128" t="s">
        <v>421</v>
      </c>
      <c r="D200" s="128" t="s">
        <v>400</v>
      </c>
      <c r="E200" s="67" t="s">
        <v>69</v>
      </c>
      <c r="F200" s="62"/>
      <c r="G200" s="64" t="s">
        <v>409</v>
      </c>
      <c r="H200" s="62"/>
      <c r="I200" s="65" t="s">
        <v>416</v>
      </c>
      <c r="J200" s="68"/>
      <c r="K200" s="136"/>
      <c r="L200" s="136"/>
      <c r="M200" s="136"/>
      <c r="N200" s="72"/>
      <c r="O200" s="82">
        <v>0.0</v>
      </c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4"/>
      <c r="BA200" s="64"/>
      <c r="BB200" s="64"/>
      <c r="BC200" s="140"/>
      <c r="BD200" s="140"/>
      <c r="BE200" s="74" t="str">
        <f t="shared" si="71"/>
        <v>No</v>
      </c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</row>
    <row r="201" ht="15.75" customHeight="1">
      <c r="A201" s="79">
        <v>12.0</v>
      </c>
      <c r="B201" s="66">
        <v>147878.0</v>
      </c>
      <c r="C201" s="128" t="s">
        <v>422</v>
      </c>
      <c r="D201" s="128" t="s">
        <v>400</v>
      </c>
      <c r="E201" s="67" t="s">
        <v>69</v>
      </c>
      <c r="F201" s="62"/>
      <c r="G201" s="64" t="s">
        <v>409</v>
      </c>
      <c r="H201" s="62"/>
      <c r="I201" s="65" t="s">
        <v>423</v>
      </c>
      <c r="J201" s="68"/>
      <c r="K201" s="136"/>
      <c r="L201" s="136"/>
      <c r="M201" s="136"/>
      <c r="N201" s="72"/>
      <c r="O201" s="72">
        <v>0.77</v>
      </c>
      <c r="P201" s="68">
        <v>2.0</v>
      </c>
      <c r="Q201" s="68">
        <v>1.0</v>
      </c>
      <c r="R201" s="68">
        <v>1.0</v>
      </c>
      <c r="S201" s="68">
        <v>6.0</v>
      </c>
      <c r="T201" s="68" t="s">
        <v>75</v>
      </c>
      <c r="U201" s="68" t="s">
        <v>75</v>
      </c>
      <c r="V201" s="68" t="s">
        <v>75</v>
      </c>
      <c r="W201" s="68" t="s">
        <v>75</v>
      </c>
      <c r="X201" s="68" t="s">
        <v>75</v>
      </c>
      <c r="Y201" s="68" t="s">
        <v>75</v>
      </c>
      <c r="Z201" s="68" t="s">
        <v>82</v>
      </c>
      <c r="AA201" s="68" t="s">
        <v>82</v>
      </c>
      <c r="AB201" s="68" t="s">
        <v>82</v>
      </c>
      <c r="AC201" s="68" t="s">
        <v>82</v>
      </c>
      <c r="AD201" s="68">
        <v>2.0</v>
      </c>
      <c r="AE201" s="68">
        <v>0.0</v>
      </c>
      <c r="AF201" s="68" t="s">
        <v>196</v>
      </c>
      <c r="AG201" s="68" t="s">
        <v>74</v>
      </c>
      <c r="AH201" s="68" t="s">
        <v>82</v>
      </c>
      <c r="AI201" s="68" t="s">
        <v>82</v>
      </c>
      <c r="AJ201" s="68" t="s">
        <v>82</v>
      </c>
      <c r="AK201" s="68" t="s">
        <v>82</v>
      </c>
      <c r="AL201" s="68">
        <v>2.0</v>
      </c>
      <c r="AM201" s="68">
        <v>0.0</v>
      </c>
      <c r="AN201" s="68">
        <v>0.0</v>
      </c>
      <c r="AO201" s="68">
        <v>0.0</v>
      </c>
      <c r="AP201" s="68" t="s">
        <v>74</v>
      </c>
      <c r="AQ201" s="68">
        <v>1.0</v>
      </c>
      <c r="AR201" s="68">
        <v>1.0</v>
      </c>
      <c r="AS201" s="68">
        <v>2.0</v>
      </c>
      <c r="AT201" s="68">
        <v>1.0</v>
      </c>
      <c r="AU201" s="68">
        <v>1.0</v>
      </c>
      <c r="AV201" s="68">
        <v>1.0</v>
      </c>
      <c r="AW201" s="68">
        <v>1.0</v>
      </c>
      <c r="AX201" s="68">
        <v>1.0</v>
      </c>
      <c r="AY201" s="68">
        <v>1.0</v>
      </c>
      <c r="AZ201" s="64"/>
      <c r="BA201" s="64"/>
      <c r="BB201" s="64"/>
      <c r="BC201" s="140"/>
      <c r="BD201" s="140"/>
      <c r="BE201" s="74" t="str">
        <f t="shared" si="71"/>
        <v>YES</v>
      </c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</row>
    <row r="202" ht="15.75" customHeight="1">
      <c r="A202" s="79">
        <v>13.0</v>
      </c>
      <c r="B202" s="66">
        <v>147951.0</v>
      </c>
      <c r="C202" s="128" t="s">
        <v>424</v>
      </c>
      <c r="D202" s="128" t="s">
        <v>400</v>
      </c>
      <c r="E202" s="67" t="s">
        <v>69</v>
      </c>
      <c r="F202" s="62"/>
      <c r="G202" s="64" t="s">
        <v>79</v>
      </c>
      <c r="H202" s="62"/>
      <c r="I202" s="65" t="s">
        <v>425</v>
      </c>
      <c r="J202" s="68"/>
      <c r="K202" s="136"/>
      <c r="L202" s="136"/>
      <c r="M202" s="136"/>
      <c r="N202" s="72"/>
      <c r="O202" s="82">
        <v>0.0</v>
      </c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4"/>
      <c r="BA202" s="64"/>
      <c r="BB202" s="64"/>
      <c r="BC202" s="140"/>
      <c r="BD202" s="140"/>
      <c r="BE202" s="74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</row>
    <row r="203" ht="15.75" customHeight="1">
      <c r="A203" s="79">
        <v>14.0</v>
      </c>
      <c r="B203" s="66">
        <v>147942.0</v>
      </c>
      <c r="C203" s="128" t="s">
        <v>426</v>
      </c>
      <c r="D203" s="128" t="s">
        <v>400</v>
      </c>
      <c r="E203" s="67" t="s">
        <v>69</v>
      </c>
      <c r="F203" s="62"/>
      <c r="G203" s="64" t="s">
        <v>79</v>
      </c>
      <c r="H203" s="62"/>
      <c r="I203" s="65" t="s">
        <v>405</v>
      </c>
      <c r="J203" s="68"/>
      <c r="K203" s="136"/>
      <c r="L203" s="136"/>
      <c r="M203" s="136"/>
      <c r="N203" s="72"/>
      <c r="O203" s="82">
        <v>0.0</v>
      </c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4"/>
      <c r="BA203" s="64"/>
      <c r="BB203" s="64"/>
      <c r="BC203" s="140"/>
      <c r="BD203" s="140"/>
      <c r="BE203" s="74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</row>
    <row r="204" ht="15.75" customHeight="1">
      <c r="A204" s="79">
        <v>15.0</v>
      </c>
      <c r="B204" s="66">
        <v>147943.0</v>
      </c>
      <c r="C204" s="128" t="s">
        <v>427</v>
      </c>
      <c r="D204" s="128" t="s">
        <v>400</v>
      </c>
      <c r="E204" s="67" t="s">
        <v>69</v>
      </c>
      <c r="F204" s="62"/>
      <c r="G204" s="64" t="s">
        <v>79</v>
      </c>
      <c r="H204" s="62"/>
      <c r="I204" s="65" t="s">
        <v>405</v>
      </c>
      <c r="J204" s="68"/>
      <c r="K204" s="136"/>
      <c r="L204" s="136"/>
      <c r="M204" s="136"/>
      <c r="N204" s="72"/>
      <c r="O204" s="82">
        <v>0.0</v>
      </c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4"/>
      <c r="BA204" s="64"/>
      <c r="BB204" s="64"/>
      <c r="BC204" s="140"/>
      <c r="BD204" s="140"/>
      <c r="BE204" s="74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</row>
    <row r="205" ht="15.75" customHeight="1">
      <c r="A205" s="79">
        <v>16.0</v>
      </c>
      <c r="B205" s="76">
        <v>147895.0</v>
      </c>
      <c r="C205" s="141" t="s">
        <v>428</v>
      </c>
      <c r="D205" s="128" t="s">
        <v>400</v>
      </c>
      <c r="E205" s="67" t="s">
        <v>69</v>
      </c>
      <c r="F205" s="69"/>
      <c r="G205" s="64" t="s">
        <v>96</v>
      </c>
      <c r="H205" s="69"/>
      <c r="I205" s="69" t="s">
        <v>355</v>
      </c>
      <c r="J205" s="68"/>
      <c r="K205" s="136"/>
      <c r="L205" s="136"/>
      <c r="M205" s="136"/>
      <c r="N205" s="72"/>
      <c r="O205" s="82">
        <v>0.0</v>
      </c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4"/>
      <c r="BA205" s="64"/>
      <c r="BB205" s="64"/>
      <c r="BC205" s="140"/>
      <c r="BD205" s="140"/>
      <c r="BE205" s="74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</row>
    <row r="206" ht="15.75" customHeight="1">
      <c r="A206" s="79"/>
      <c r="B206" s="79"/>
      <c r="C206" s="79"/>
      <c r="D206" s="79"/>
      <c r="E206" s="67"/>
      <c r="F206" s="69"/>
      <c r="G206" s="64"/>
      <c r="H206" s="69"/>
      <c r="I206" s="69"/>
      <c r="J206" s="68"/>
      <c r="K206" s="136"/>
      <c r="L206" s="136"/>
      <c r="M206" s="136"/>
      <c r="N206" s="72"/>
      <c r="O206" s="72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4"/>
      <c r="BA206" s="64"/>
      <c r="BB206" s="64"/>
      <c r="BC206" s="140"/>
      <c r="BD206" s="140"/>
      <c r="BE206" s="74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</row>
    <row r="207" ht="15.75" customHeight="1">
      <c r="A207" s="79"/>
      <c r="B207" s="83">
        <v>147792.0</v>
      </c>
      <c r="C207" s="134" t="s">
        <v>429</v>
      </c>
      <c r="D207" s="134" t="s">
        <v>400</v>
      </c>
      <c r="E207" s="73" t="s">
        <v>142</v>
      </c>
      <c r="F207" s="62"/>
      <c r="G207" s="64"/>
      <c r="H207" s="62"/>
      <c r="I207" s="65"/>
      <c r="J207" s="68"/>
      <c r="K207" s="136"/>
      <c r="L207" s="136"/>
      <c r="M207" s="136"/>
      <c r="N207" s="72"/>
      <c r="O207" s="72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4"/>
      <c r="BA207" s="64"/>
      <c r="BB207" s="64"/>
      <c r="BC207" s="140"/>
      <c r="BD207" s="140"/>
      <c r="BE207" s="74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</row>
    <row r="208" ht="15.75" customHeight="1">
      <c r="A208" s="79"/>
      <c r="B208" s="83" t="s">
        <v>430</v>
      </c>
      <c r="C208" s="134" t="s">
        <v>431</v>
      </c>
      <c r="D208" s="134" t="s">
        <v>400</v>
      </c>
      <c r="E208" s="73" t="s">
        <v>74</v>
      </c>
      <c r="F208" s="62"/>
      <c r="G208" s="64"/>
      <c r="H208" s="62"/>
      <c r="I208" s="65"/>
      <c r="J208" s="68"/>
      <c r="K208" s="136"/>
      <c r="L208" s="136"/>
      <c r="M208" s="136"/>
      <c r="N208" s="72"/>
      <c r="O208" s="72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4"/>
      <c r="BA208" s="64"/>
      <c r="BB208" s="64"/>
      <c r="BC208" s="140"/>
      <c r="BD208" s="140"/>
      <c r="BE208" s="74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</row>
    <row r="209" ht="15.75" customHeight="1">
      <c r="A209" s="79"/>
      <c r="B209" s="83" t="s">
        <v>432</v>
      </c>
      <c r="C209" s="134" t="s">
        <v>433</v>
      </c>
      <c r="D209" s="134" t="s">
        <v>400</v>
      </c>
      <c r="E209" s="73" t="s">
        <v>74</v>
      </c>
      <c r="F209" s="62"/>
      <c r="G209" s="64"/>
      <c r="H209" s="62"/>
      <c r="I209" s="65"/>
      <c r="J209" s="68"/>
      <c r="K209" s="136"/>
      <c r="L209" s="136"/>
      <c r="M209" s="136"/>
      <c r="N209" s="72"/>
      <c r="O209" s="72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4"/>
      <c r="BA209" s="64"/>
      <c r="BB209" s="64"/>
      <c r="BC209" s="140"/>
      <c r="BD209" s="140"/>
      <c r="BE209" s="74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</row>
    <row r="210" ht="15.75" customHeight="1">
      <c r="A210" s="79"/>
      <c r="B210" s="83" t="s">
        <v>434</v>
      </c>
      <c r="C210" s="134" t="s">
        <v>435</v>
      </c>
      <c r="D210" s="134" t="s">
        <v>400</v>
      </c>
      <c r="E210" s="73" t="s">
        <v>436</v>
      </c>
      <c r="F210" s="62"/>
      <c r="G210" s="64" t="s">
        <v>437</v>
      </c>
      <c r="H210" s="62"/>
      <c r="I210" s="65" t="s">
        <v>438</v>
      </c>
      <c r="J210" s="68"/>
      <c r="K210" s="136"/>
      <c r="L210" s="136"/>
      <c r="M210" s="136"/>
      <c r="N210" s="72"/>
      <c r="O210" s="72">
        <v>0.0</v>
      </c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4"/>
      <c r="BA210" s="64"/>
      <c r="BB210" s="64"/>
      <c r="BC210" s="140"/>
      <c r="BD210" s="140"/>
      <c r="BE210" s="74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</row>
    <row r="211" ht="15.75" customHeight="1">
      <c r="A211" s="79"/>
      <c r="B211" s="83">
        <v>147968.0</v>
      </c>
      <c r="C211" s="134" t="s">
        <v>439</v>
      </c>
      <c r="D211" s="134" t="s">
        <v>400</v>
      </c>
      <c r="E211" s="73" t="s">
        <v>436</v>
      </c>
      <c r="F211" s="62"/>
      <c r="G211" s="64" t="s">
        <v>437</v>
      </c>
      <c r="H211" s="62"/>
      <c r="I211" s="65" t="s">
        <v>440</v>
      </c>
      <c r="J211" s="68"/>
      <c r="K211" s="136"/>
      <c r="L211" s="136"/>
      <c r="M211" s="136"/>
      <c r="N211" s="72"/>
      <c r="O211" s="72">
        <v>0.0</v>
      </c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4"/>
      <c r="BA211" s="64"/>
      <c r="BB211" s="64"/>
      <c r="BC211" s="140"/>
      <c r="BD211" s="140"/>
      <c r="BE211" s="74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</row>
    <row r="212" ht="15.75" customHeight="1">
      <c r="A212" s="79"/>
      <c r="B212" s="79">
        <v>232001.0</v>
      </c>
      <c r="C212" s="154" t="s">
        <v>441</v>
      </c>
      <c r="D212" s="134" t="s">
        <v>400</v>
      </c>
      <c r="E212" s="73" t="s">
        <v>98</v>
      </c>
      <c r="F212" s="73" t="s">
        <v>98</v>
      </c>
      <c r="G212" s="73" t="s">
        <v>98</v>
      </c>
      <c r="H212" s="73" t="s">
        <v>98</v>
      </c>
      <c r="I212" s="73" t="s">
        <v>98</v>
      </c>
      <c r="J212" s="68"/>
      <c r="K212" s="136"/>
      <c r="L212" s="136"/>
      <c r="M212" s="136"/>
      <c r="N212" s="72"/>
      <c r="O212" s="72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4"/>
      <c r="BA212" s="64"/>
      <c r="BB212" s="64"/>
      <c r="BC212" s="140"/>
      <c r="BD212" s="140"/>
      <c r="BE212" s="74" t="str">
        <f t="shared" ref="BE212:BE213" si="75">IF(O212&gt;60%,"YES","No")</f>
        <v>No</v>
      </c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</row>
    <row r="213" ht="15.75" customHeight="1">
      <c r="A213" s="79"/>
      <c r="B213" s="79">
        <v>147927.0</v>
      </c>
      <c r="C213" s="79" t="s">
        <v>442</v>
      </c>
      <c r="D213" s="134" t="s">
        <v>400</v>
      </c>
      <c r="E213" s="73" t="s">
        <v>74</v>
      </c>
      <c r="F213" s="67"/>
      <c r="G213" s="68" t="s">
        <v>443</v>
      </c>
      <c r="H213" s="135"/>
      <c r="I213" s="69" t="s">
        <v>355</v>
      </c>
      <c r="J213" s="68"/>
      <c r="K213" s="136"/>
      <c r="L213" s="136"/>
      <c r="M213" s="136"/>
      <c r="N213" s="72"/>
      <c r="O213" s="72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4"/>
      <c r="BA213" s="64"/>
      <c r="BB213" s="64"/>
      <c r="BC213" s="140"/>
      <c r="BD213" s="140"/>
      <c r="BE213" s="74" t="str">
        <f t="shared" si="75"/>
        <v>No</v>
      </c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</row>
    <row r="214" ht="15.75" customHeight="1">
      <c r="A214" s="79"/>
      <c r="B214" s="79">
        <v>147732.001</v>
      </c>
      <c r="C214" s="154" t="s">
        <v>444</v>
      </c>
      <c r="D214" s="134" t="s">
        <v>400</v>
      </c>
      <c r="E214" s="73" t="s">
        <v>98</v>
      </c>
      <c r="F214" s="69"/>
      <c r="G214" s="64" t="s">
        <v>113</v>
      </c>
      <c r="H214" s="69"/>
      <c r="I214" s="69" t="s">
        <v>445</v>
      </c>
      <c r="J214" s="68"/>
      <c r="K214" s="136"/>
      <c r="L214" s="136"/>
      <c r="M214" s="136"/>
      <c r="N214" s="72"/>
      <c r="O214" s="72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4"/>
      <c r="BA214" s="64"/>
      <c r="BB214" s="64"/>
      <c r="BC214" s="140"/>
      <c r="BD214" s="140"/>
      <c r="BE214" s="74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</row>
    <row r="215" ht="15.75" customHeight="1">
      <c r="A215" s="62"/>
      <c r="B215" s="83">
        <v>147846.0</v>
      </c>
      <c r="C215" s="134" t="s">
        <v>446</v>
      </c>
      <c r="D215" s="134" t="s">
        <v>400</v>
      </c>
      <c r="E215" s="73" t="s">
        <v>98</v>
      </c>
      <c r="F215" s="155"/>
      <c r="G215" s="155"/>
      <c r="H215" s="62"/>
      <c r="I215" s="65" t="s">
        <v>447</v>
      </c>
      <c r="J215" s="68"/>
      <c r="K215" s="136"/>
      <c r="L215" s="136"/>
      <c r="M215" s="136"/>
      <c r="N215" s="72"/>
      <c r="O215" s="72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4"/>
      <c r="BA215" s="64"/>
      <c r="BB215" s="64"/>
      <c r="BC215" s="140"/>
      <c r="BD215" s="140"/>
      <c r="BE215" s="74" t="str">
        <f>IF(O215&gt;60%,"YES","No")</f>
        <v>No</v>
      </c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</row>
    <row r="216" ht="15.75" customHeight="1">
      <c r="A216" s="79"/>
      <c r="B216" s="79">
        <v>147786.0</v>
      </c>
      <c r="C216" s="62" t="s">
        <v>448</v>
      </c>
      <c r="D216" s="134" t="s">
        <v>400</v>
      </c>
      <c r="E216" s="73" t="s">
        <v>98</v>
      </c>
      <c r="F216" s="73"/>
      <c r="G216" s="73" t="s">
        <v>449</v>
      </c>
      <c r="H216" s="135" t="s">
        <v>354</v>
      </c>
      <c r="I216" s="69" t="s">
        <v>405</v>
      </c>
      <c r="J216" s="68" t="s">
        <v>159</v>
      </c>
      <c r="K216" s="136"/>
      <c r="L216" s="136"/>
      <c r="M216" s="136"/>
      <c r="N216" s="72">
        <v>0.0</v>
      </c>
      <c r="O216" s="72">
        <v>0.88</v>
      </c>
      <c r="P216" s="68">
        <v>4.0</v>
      </c>
      <c r="Q216" s="68">
        <v>2.0</v>
      </c>
      <c r="R216" s="68">
        <v>1.0</v>
      </c>
      <c r="S216" s="68">
        <v>2.0</v>
      </c>
      <c r="T216" s="68" t="s">
        <v>74</v>
      </c>
      <c r="U216" s="156">
        <v>90.0</v>
      </c>
      <c r="V216" s="157">
        <v>49.5</v>
      </c>
      <c r="W216" s="68">
        <v>1.0</v>
      </c>
      <c r="X216" s="72">
        <f>(U216-V216)/U216</f>
        <v>0.45</v>
      </c>
      <c r="Y216" s="68" t="s">
        <v>74</v>
      </c>
      <c r="Z216" s="130" t="s">
        <v>160</v>
      </c>
      <c r="AA216" s="130" t="s">
        <v>160</v>
      </c>
      <c r="AB216" s="130" t="s">
        <v>160</v>
      </c>
      <c r="AC216" s="130" t="s">
        <v>160</v>
      </c>
      <c r="AD216" s="68">
        <v>17.0</v>
      </c>
      <c r="AE216" s="68">
        <v>0.0</v>
      </c>
      <c r="AF216" s="68"/>
      <c r="AG216" s="68">
        <v>3.0</v>
      </c>
      <c r="AH216" s="131"/>
      <c r="AI216" s="132" t="s">
        <v>74</v>
      </c>
      <c r="AJ216" s="139"/>
      <c r="AK216" s="68" t="s">
        <v>74</v>
      </c>
      <c r="AL216" s="68">
        <v>10.0</v>
      </c>
      <c r="AM216" s="68">
        <v>4.0</v>
      </c>
      <c r="AN216" s="68">
        <v>0.0</v>
      </c>
      <c r="AO216" s="68">
        <v>0.0</v>
      </c>
      <c r="AP216" s="68"/>
      <c r="AQ216" s="68">
        <v>3.0</v>
      </c>
      <c r="AR216" s="68"/>
      <c r="AS216" s="68">
        <v>1.0</v>
      </c>
      <c r="AT216" s="68">
        <v>1.0</v>
      </c>
      <c r="AU216" s="68">
        <v>1.0</v>
      </c>
      <c r="AV216" s="68">
        <v>0.0</v>
      </c>
      <c r="AW216" s="68">
        <v>0.0</v>
      </c>
      <c r="AX216" s="68">
        <v>1.0</v>
      </c>
      <c r="AY216" s="68">
        <v>1.0</v>
      </c>
      <c r="AZ216" s="68">
        <f>P216+Q216+R216+S216+AD216+AE216+AG216+AL216+AM216+AN216+AO216+AQ216+AS216+AT216+AU216+AV216+AW216+AX216+AY216</f>
        <v>51</v>
      </c>
      <c r="BA216" s="72">
        <f>AZ216/67</f>
        <v>0.7611940299</v>
      </c>
      <c r="BB216" s="68" t="s">
        <v>185</v>
      </c>
      <c r="BC216" s="133"/>
      <c r="BD216" s="133"/>
      <c r="BE216" s="74" t="str">
        <f>IF(#REF!&gt;60%,"YES","No")</f>
        <v>#REF!</v>
      </c>
      <c r="BF216" s="62" t="str">
        <f>C216</f>
        <v>HCA Medical City Frisco Vert Exp - possibly going away (end of March)</v>
      </c>
      <c r="BG216" s="62" t="str">
        <f>I216</f>
        <v>Matt Enslin</v>
      </c>
      <c r="BH216" s="62" t="str">
        <f>IF(BA216&gt;65%,"No need to contact","need to contact")</f>
        <v>No need to contact</v>
      </c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</row>
    <row r="217" ht="15.75" customHeight="1">
      <c r="A217" s="79"/>
      <c r="B217" s="79" t="s">
        <v>450</v>
      </c>
      <c r="C217" s="134" t="s">
        <v>451</v>
      </c>
      <c r="D217" s="134" t="s">
        <v>400</v>
      </c>
      <c r="E217" s="73" t="s">
        <v>74</v>
      </c>
      <c r="F217" s="67"/>
      <c r="G217" s="68" t="s">
        <v>113</v>
      </c>
      <c r="H217" s="135"/>
      <c r="I217" s="69" t="s">
        <v>438</v>
      </c>
      <c r="J217" s="68"/>
      <c r="K217" s="136"/>
      <c r="L217" s="136"/>
      <c r="M217" s="136"/>
      <c r="N217" s="72"/>
      <c r="O217" s="72">
        <v>0.0</v>
      </c>
      <c r="P217" s="68"/>
      <c r="Q217" s="68"/>
      <c r="R217" s="68"/>
      <c r="S217" s="68"/>
      <c r="T217" s="94"/>
      <c r="U217" s="144"/>
      <c r="V217" s="153"/>
      <c r="W217" s="68"/>
      <c r="X217" s="72"/>
      <c r="Y217" s="68"/>
      <c r="Z217" s="130"/>
      <c r="AA217" s="130"/>
      <c r="AB217" s="130"/>
      <c r="AC217" s="130"/>
      <c r="AD217" s="68"/>
      <c r="AE217" s="68"/>
      <c r="AF217" s="68"/>
      <c r="AG217" s="68"/>
      <c r="AH217" s="131"/>
      <c r="AI217" s="132"/>
      <c r="AJ217" s="72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72"/>
      <c r="BB217" s="68"/>
      <c r="BC217" s="133"/>
      <c r="BD217" s="133"/>
      <c r="BE217" s="74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</row>
    <row r="218" ht="15.75" customHeight="1">
      <c r="A218" s="79"/>
      <c r="B218" s="79" t="s">
        <v>452</v>
      </c>
      <c r="C218" s="134" t="s">
        <v>453</v>
      </c>
      <c r="D218" s="134" t="s">
        <v>400</v>
      </c>
      <c r="E218" s="73" t="s">
        <v>74</v>
      </c>
      <c r="F218" s="67"/>
      <c r="G218" s="68"/>
      <c r="H218" s="135"/>
      <c r="I218" s="69"/>
      <c r="J218" s="68"/>
      <c r="K218" s="136"/>
      <c r="L218" s="136"/>
      <c r="M218" s="136"/>
      <c r="N218" s="72"/>
      <c r="O218" s="72"/>
      <c r="P218" s="68"/>
      <c r="Q218" s="68"/>
      <c r="R218" s="68"/>
      <c r="S218" s="68"/>
      <c r="T218" s="94"/>
      <c r="U218" s="144"/>
      <c r="V218" s="153"/>
      <c r="W218" s="68"/>
      <c r="X218" s="72"/>
      <c r="Y218" s="68"/>
      <c r="Z218" s="130"/>
      <c r="AA218" s="130"/>
      <c r="AB218" s="130"/>
      <c r="AC218" s="130"/>
      <c r="AD218" s="68"/>
      <c r="AE218" s="68"/>
      <c r="AF218" s="68"/>
      <c r="AG218" s="68"/>
      <c r="AH218" s="131"/>
      <c r="AI218" s="132"/>
      <c r="AJ218" s="72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72"/>
      <c r="BB218" s="68"/>
      <c r="BC218" s="133"/>
      <c r="BD218" s="133"/>
      <c r="BE218" s="74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</row>
    <row r="219" ht="15.75" customHeight="1">
      <c r="A219" s="79"/>
      <c r="B219" s="134" t="s">
        <v>454</v>
      </c>
      <c r="C219" s="134" t="s">
        <v>455</v>
      </c>
      <c r="D219" s="134" t="s">
        <v>400</v>
      </c>
      <c r="E219" s="73" t="s">
        <v>74</v>
      </c>
      <c r="F219" s="67"/>
      <c r="G219" s="68" t="s">
        <v>70</v>
      </c>
      <c r="H219" s="135"/>
      <c r="I219" s="69" t="s">
        <v>438</v>
      </c>
      <c r="J219" s="68"/>
      <c r="K219" s="136"/>
      <c r="L219" s="136"/>
      <c r="M219" s="136"/>
      <c r="N219" s="72"/>
      <c r="O219" s="72"/>
      <c r="P219" s="68"/>
      <c r="Q219" s="68"/>
      <c r="R219" s="68"/>
      <c r="S219" s="68"/>
      <c r="T219" s="94"/>
      <c r="U219" s="144"/>
      <c r="V219" s="153"/>
      <c r="W219" s="68"/>
      <c r="X219" s="72"/>
      <c r="Y219" s="68"/>
      <c r="Z219" s="130"/>
      <c r="AA219" s="130"/>
      <c r="AB219" s="130"/>
      <c r="AC219" s="130"/>
      <c r="AD219" s="68"/>
      <c r="AE219" s="68"/>
      <c r="AF219" s="68"/>
      <c r="AG219" s="68"/>
      <c r="AH219" s="131"/>
      <c r="AI219" s="132"/>
      <c r="AJ219" s="72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72"/>
      <c r="BB219" s="68"/>
      <c r="BC219" s="133"/>
      <c r="BD219" s="133"/>
      <c r="BE219" s="74" t="str">
        <f>IF(O231&gt;60%,"YES","No")</f>
        <v>No</v>
      </c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</row>
    <row r="220" ht="15.75" customHeight="1">
      <c r="A220" s="79"/>
      <c r="B220" s="134" t="s">
        <v>456</v>
      </c>
      <c r="C220" s="134" t="s">
        <v>457</v>
      </c>
      <c r="D220" s="134" t="s">
        <v>400</v>
      </c>
      <c r="E220" s="73" t="s">
        <v>74</v>
      </c>
      <c r="F220" s="67"/>
      <c r="G220" s="73" t="s">
        <v>449</v>
      </c>
      <c r="H220" s="135"/>
      <c r="I220" s="69" t="s">
        <v>438</v>
      </c>
      <c r="J220" s="68"/>
      <c r="K220" s="136"/>
      <c r="L220" s="136"/>
      <c r="M220" s="136"/>
      <c r="N220" s="72"/>
      <c r="O220" s="72"/>
      <c r="P220" s="68"/>
      <c r="Q220" s="68"/>
      <c r="R220" s="68"/>
      <c r="S220" s="68"/>
      <c r="T220" s="94"/>
      <c r="U220" s="144"/>
      <c r="V220" s="153"/>
      <c r="W220" s="68"/>
      <c r="X220" s="72"/>
      <c r="Y220" s="68"/>
      <c r="Z220" s="130"/>
      <c r="AA220" s="130"/>
      <c r="AB220" s="130"/>
      <c r="AC220" s="130"/>
      <c r="AD220" s="68"/>
      <c r="AE220" s="68"/>
      <c r="AF220" s="68"/>
      <c r="AG220" s="68"/>
      <c r="AH220" s="131"/>
      <c r="AI220" s="132"/>
      <c r="AJ220" s="72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72"/>
      <c r="BB220" s="68"/>
      <c r="BC220" s="133"/>
      <c r="BD220" s="133"/>
      <c r="BE220" s="74" t="str">
        <f t="shared" ref="BE220:BE235" si="76">IF(O220&gt;60%,"YES","No")</f>
        <v>No</v>
      </c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</row>
    <row r="221" ht="15.75" customHeight="1">
      <c r="A221" s="79"/>
      <c r="B221" s="79">
        <v>148002.0</v>
      </c>
      <c r="C221" s="62" t="s">
        <v>458</v>
      </c>
      <c r="D221" s="134" t="s">
        <v>400</v>
      </c>
      <c r="E221" s="73" t="s">
        <v>74</v>
      </c>
      <c r="F221" s="94"/>
      <c r="G221" s="73" t="s">
        <v>93</v>
      </c>
      <c r="H221" s="135"/>
      <c r="I221" s="69" t="s">
        <v>459</v>
      </c>
      <c r="J221" s="135"/>
      <c r="K221" s="136"/>
      <c r="L221" s="136"/>
      <c r="M221" s="136"/>
      <c r="N221" s="72">
        <v>0.0</v>
      </c>
      <c r="O221" s="62"/>
      <c r="P221" s="68">
        <v>4.0</v>
      </c>
      <c r="Q221" s="68">
        <v>2.0</v>
      </c>
      <c r="R221" s="68">
        <v>1.0</v>
      </c>
      <c r="S221" s="68">
        <v>2.0</v>
      </c>
      <c r="T221" s="68" t="s">
        <v>74</v>
      </c>
      <c r="U221" s="156">
        <v>90.0</v>
      </c>
      <c r="V221" s="157">
        <v>49.5</v>
      </c>
      <c r="W221" s="68">
        <v>1.0</v>
      </c>
      <c r="X221" s="72">
        <f>(U221-V221)/U221</f>
        <v>0.45</v>
      </c>
      <c r="Y221" s="68" t="s">
        <v>74</v>
      </c>
      <c r="Z221" s="130" t="s">
        <v>75</v>
      </c>
      <c r="AA221" s="130" t="s">
        <v>75</v>
      </c>
      <c r="AB221" s="130" t="s">
        <v>75</v>
      </c>
      <c r="AC221" s="130" t="s">
        <v>75</v>
      </c>
      <c r="AD221" s="68">
        <v>17.0</v>
      </c>
      <c r="AE221" s="68">
        <v>0.0</v>
      </c>
      <c r="AF221" s="68"/>
      <c r="AG221" s="68" t="s">
        <v>74</v>
      </c>
      <c r="AH221" s="131"/>
      <c r="AI221" s="132" t="s">
        <v>74</v>
      </c>
      <c r="AJ221" s="72"/>
      <c r="AK221" s="68" t="s">
        <v>74</v>
      </c>
      <c r="AL221" s="68">
        <v>10.0</v>
      </c>
      <c r="AM221" s="68">
        <v>4.0</v>
      </c>
      <c r="AN221" s="68">
        <v>0.0</v>
      </c>
      <c r="AO221" s="68">
        <v>0.0</v>
      </c>
      <c r="AP221" s="68"/>
      <c r="AQ221" s="68">
        <v>3.0</v>
      </c>
      <c r="AR221" s="68"/>
      <c r="AS221" s="68">
        <v>1.0</v>
      </c>
      <c r="AT221" s="68">
        <v>1.0</v>
      </c>
      <c r="AU221" s="68">
        <v>1.0</v>
      </c>
      <c r="AV221" s="68">
        <v>0.0</v>
      </c>
      <c r="AW221" s="68">
        <v>0.0</v>
      </c>
      <c r="AX221" s="68">
        <v>1.0</v>
      </c>
      <c r="AY221" s="68">
        <v>1.0</v>
      </c>
      <c r="AZ221" s="68" t="str">
        <f>P221+Q221+R221+S221+AD221+AE221+AG221+AL221+AM221+AN221+AO221+AQ221+AS221+AT221+AU221+AV221+AW221+AX221+AY221</f>
        <v>#VALUE!</v>
      </c>
      <c r="BA221" s="72" t="str">
        <f>AZ221/67</f>
        <v>#VALUE!</v>
      </c>
      <c r="BB221" s="68" t="s">
        <v>185</v>
      </c>
      <c r="BC221" s="133"/>
      <c r="BD221" s="133"/>
      <c r="BE221" s="74" t="str">
        <f t="shared" si="76"/>
        <v>No</v>
      </c>
      <c r="BF221" s="62" t="str">
        <f>C221</f>
        <v>Methodist SA S&amp;T Reno - (not in project app)</v>
      </c>
      <c r="BG221" s="62" t="str">
        <f>I221</f>
        <v>Devin Weaver/Omar</v>
      </c>
      <c r="BH221" s="62" t="str">
        <f>IF(BA221&gt;65%,"No need to contact","need to contact")</f>
        <v>#VALUE!</v>
      </c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</row>
    <row r="222" ht="14.25" customHeight="1">
      <c r="A222" s="79"/>
      <c r="B222" s="79">
        <v>147866.0</v>
      </c>
      <c r="C222" s="79" t="s">
        <v>460</v>
      </c>
      <c r="D222" s="134" t="s">
        <v>400</v>
      </c>
      <c r="E222" s="73" t="s">
        <v>74</v>
      </c>
      <c r="F222" s="69"/>
      <c r="G222" s="68" t="s">
        <v>113</v>
      </c>
      <c r="H222" s="69"/>
      <c r="I222" s="69" t="s">
        <v>461</v>
      </c>
      <c r="J222" s="68"/>
      <c r="K222" s="136"/>
      <c r="L222" s="136"/>
      <c r="M222" s="136"/>
      <c r="N222" s="72"/>
      <c r="O222" s="72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4"/>
      <c r="BA222" s="64"/>
      <c r="BB222" s="64"/>
      <c r="BC222" s="140"/>
      <c r="BD222" s="140"/>
      <c r="BE222" s="74" t="str">
        <f t="shared" si="76"/>
        <v>No</v>
      </c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</row>
    <row r="223" ht="15.75" customHeight="1">
      <c r="A223" s="79"/>
      <c r="B223" s="79">
        <v>147802.0</v>
      </c>
      <c r="C223" s="79" t="s">
        <v>462</v>
      </c>
      <c r="D223" s="134" t="s">
        <v>400</v>
      </c>
      <c r="E223" s="73" t="s">
        <v>74</v>
      </c>
      <c r="F223" s="69" t="s">
        <v>463</v>
      </c>
      <c r="G223" s="68" t="s">
        <v>464</v>
      </c>
      <c r="H223" s="62"/>
      <c r="I223" s="69" t="s">
        <v>465</v>
      </c>
      <c r="J223" s="69"/>
      <c r="K223" s="69" t="s">
        <v>465</v>
      </c>
      <c r="L223" s="136"/>
      <c r="M223" s="136"/>
      <c r="N223" s="72"/>
      <c r="O223" s="72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4"/>
      <c r="BA223" s="64"/>
      <c r="BB223" s="64"/>
      <c r="BC223" s="140"/>
      <c r="BD223" s="140"/>
      <c r="BE223" s="74" t="str">
        <f t="shared" si="76"/>
        <v>No</v>
      </c>
      <c r="BF223" s="62" t="str">
        <f t="shared" ref="BF223:BF224" si="77">C223</f>
        <v>Encompass Health Clinton HIH - Test Fit</v>
      </c>
      <c r="BG223" s="75" t="str">
        <f t="shared" ref="BG223:BG224" si="78">G223</f>
        <v>Test Fit</v>
      </c>
      <c r="BH223" s="75" t="str">
        <f t="shared" ref="BH223:BH224" si="79">IF(BA223&gt;65%,"No need to contact","need to contact")</f>
        <v>need to contact</v>
      </c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</row>
    <row r="224" ht="15.75" customHeight="1">
      <c r="A224" s="79"/>
      <c r="B224" s="79">
        <v>147803.0</v>
      </c>
      <c r="C224" s="79" t="s">
        <v>466</v>
      </c>
      <c r="D224" s="134" t="s">
        <v>400</v>
      </c>
      <c r="E224" s="73" t="s">
        <v>74</v>
      </c>
      <c r="F224" s="69" t="s">
        <v>463</v>
      </c>
      <c r="G224" s="68" t="s">
        <v>464</v>
      </c>
      <c r="H224" s="62"/>
      <c r="I224" s="69" t="s">
        <v>465</v>
      </c>
      <c r="J224" s="69"/>
      <c r="K224" s="69" t="s">
        <v>465</v>
      </c>
      <c r="L224" s="136"/>
      <c r="M224" s="136"/>
      <c r="N224" s="72"/>
      <c r="O224" s="72"/>
      <c r="P224" s="68" t="s">
        <v>467</v>
      </c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4"/>
      <c r="BA224" s="64"/>
      <c r="BB224" s="64"/>
      <c r="BC224" s="140"/>
      <c r="BD224" s="140"/>
      <c r="BE224" s="74" t="str">
        <f t="shared" si="76"/>
        <v>No</v>
      </c>
      <c r="BF224" s="62" t="str">
        <f t="shared" si="77"/>
        <v>Encompass Health Rehab Bridgewater  - Test Fit</v>
      </c>
      <c r="BG224" s="75" t="str">
        <f t="shared" si="78"/>
        <v>Test Fit</v>
      </c>
      <c r="BH224" s="75" t="str">
        <f t="shared" si="79"/>
        <v>need to contact</v>
      </c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</row>
    <row r="225" ht="15.75" customHeight="1">
      <c r="A225" s="79"/>
      <c r="B225" s="79">
        <v>147822.0</v>
      </c>
      <c r="C225" s="79" t="s">
        <v>468</v>
      </c>
      <c r="D225" s="134" t="s">
        <v>400</v>
      </c>
      <c r="E225" s="73" t="s">
        <v>74</v>
      </c>
      <c r="F225" s="69" t="s">
        <v>463</v>
      </c>
      <c r="G225" s="68" t="s">
        <v>464</v>
      </c>
      <c r="H225" s="62"/>
      <c r="I225" s="69" t="s">
        <v>465</v>
      </c>
      <c r="J225" s="68"/>
      <c r="K225" s="136"/>
      <c r="L225" s="136"/>
      <c r="M225" s="136"/>
      <c r="N225" s="72"/>
      <c r="O225" s="72"/>
      <c r="P225" s="68" t="s">
        <v>467</v>
      </c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4"/>
      <c r="BA225" s="64"/>
      <c r="BB225" s="64"/>
      <c r="BC225" s="140"/>
      <c r="BD225" s="140"/>
      <c r="BE225" s="74" t="str">
        <f t="shared" si="76"/>
        <v>No</v>
      </c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</row>
    <row r="226" ht="15.75" customHeight="1">
      <c r="A226" s="79"/>
      <c r="B226" s="79">
        <v>147810.0</v>
      </c>
      <c r="C226" s="79" t="s">
        <v>469</v>
      </c>
      <c r="D226" s="134" t="s">
        <v>400</v>
      </c>
      <c r="E226" s="73" t="s">
        <v>74</v>
      </c>
      <c r="F226" s="69"/>
      <c r="G226" s="68" t="s">
        <v>464</v>
      </c>
      <c r="H226" s="69"/>
      <c r="I226" s="69" t="s">
        <v>465</v>
      </c>
      <c r="J226" s="68"/>
      <c r="K226" s="136"/>
      <c r="L226" s="136"/>
      <c r="M226" s="136"/>
      <c r="N226" s="72"/>
      <c r="O226" s="72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4"/>
      <c r="BA226" s="64"/>
      <c r="BB226" s="64"/>
      <c r="BC226" s="140"/>
      <c r="BD226" s="140"/>
      <c r="BE226" s="74" t="str">
        <f t="shared" si="76"/>
        <v>No</v>
      </c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</row>
    <row r="227" ht="15.75" customHeight="1">
      <c r="A227" s="83"/>
      <c r="B227" s="83">
        <v>147164.202</v>
      </c>
      <c r="C227" s="134" t="s">
        <v>470</v>
      </c>
      <c r="D227" s="134" t="s">
        <v>400</v>
      </c>
      <c r="E227" s="73" t="s">
        <v>74</v>
      </c>
      <c r="F227" s="67"/>
      <c r="G227" s="68" t="s">
        <v>70</v>
      </c>
      <c r="H227" s="135"/>
      <c r="I227" s="69" t="s">
        <v>471</v>
      </c>
      <c r="J227" s="68"/>
      <c r="K227" s="136"/>
      <c r="L227" s="90"/>
      <c r="M227" s="73"/>
      <c r="N227" s="81"/>
      <c r="O227" s="72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72"/>
      <c r="BB227" s="68"/>
      <c r="BC227" s="140"/>
      <c r="BD227" s="140"/>
      <c r="BE227" s="74" t="str">
        <f t="shared" si="76"/>
        <v>No</v>
      </c>
      <c r="BF227" s="62"/>
      <c r="BG227" s="75"/>
      <c r="BH227" s="75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</row>
    <row r="228" ht="15.75" customHeight="1">
      <c r="A228" s="83"/>
      <c r="B228" s="83">
        <v>147164.201</v>
      </c>
      <c r="C228" s="134" t="s">
        <v>472</v>
      </c>
      <c r="D228" s="134" t="s">
        <v>400</v>
      </c>
      <c r="E228" s="73" t="s">
        <v>74</v>
      </c>
      <c r="F228" s="67"/>
      <c r="G228" s="68" t="s">
        <v>70</v>
      </c>
      <c r="H228" s="135"/>
      <c r="I228" s="69" t="s">
        <v>471</v>
      </c>
      <c r="J228" s="68"/>
      <c r="K228" s="136"/>
      <c r="L228" s="90"/>
      <c r="M228" s="73"/>
      <c r="N228" s="81"/>
      <c r="O228" s="72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72"/>
      <c r="BB228" s="68"/>
      <c r="BC228" s="140"/>
      <c r="BD228" s="140"/>
      <c r="BE228" s="74" t="str">
        <f t="shared" si="76"/>
        <v>No</v>
      </c>
      <c r="BF228" s="62"/>
      <c r="BG228" s="75"/>
      <c r="BH228" s="75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</row>
    <row r="229" ht="15.75" customHeight="1">
      <c r="A229" s="83"/>
      <c r="B229" s="83">
        <v>147361.001</v>
      </c>
      <c r="C229" s="134" t="s">
        <v>473</v>
      </c>
      <c r="D229" s="134" t="s">
        <v>400</v>
      </c>
      <c r="E229" s="73" t="s">
        <v>74</v>
      </c>
      <c r="F229" s="67"/>
      <c r="G229" s="68" t="s">
        <v>70</v>
      </c>
      <c r="H229" s="135"/>
      <c r="I229" s="69" t="s">
        <v>471</v>
      </c>
      <c r="J229" s="68"/>
      <c r="K229" s="136"/>
      <c r="L229" s="90"/>
      <c r="M229" s="73"/>
      <c r="N229" s="81"/>
      <c r="O229" s="72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72"/>
      <c r="BB229" s="68"/>
      <c r="BC229" s="140"/>
      <c r="BD229" s="140"/>
      <c r="BE229" s="74" t="str">
        <f t="shared" si="76"/>
        <v>No</v>
      </c>
      <c r="BF229" s="62"/>
      <c r="BG229" s="75"/>
      <c r="BH229" s="75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</row>
    <row r="230" ht="15.75" customHeight="1">
      <c r="A230" s="83"/>
      <c r="B230" s="83">
        <v>232302.0</v>
      </c>
      <c r="C230" s="134" t="s">
        <v>474</v>
      </c>
      <c r="D230" s="134" t="s">
        <v>400</v>
      </c>
      <c r="E230" s="73" t="s">
        <v>74</v>
      </c>
      <c r="F230" s="67"/>
      <c r="G230" s="68"/>
      <c r="H230" s="135"/>
      <c r="I230" s="69" t="s">
        <v>471</v>
      </c>
      <c r="J230" s="68"/>
      <c r="K230" s="136"/>
      <c r="L230" s="90"/>
      <c r="M230" s="73"/>
      <c r="N230" s="81"/>
      <c r="O230" s="72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72"/>
      <c r="BB230" s="68"/>
      <c r="BC230" s="140"/>
      <c r="BD230" s="140"/>
      <c r="BE230" s="74" t="str">
        <f t="shared" si="76"/>
        <v>No</v>
      </c>
      <c r="BF230" s="62"/>
      <c r="BG230" s="75"/>
      <c r="BH230" s="75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</row>
    <row r="231" ht="15.75" customHeight="1">
      <c r="A231" s="79"/>
      <c r="B231" s="79">
        <v>92.0</v>
      </c>
      <c r="C231" s="79" t="s">
        <v>475</v>
      </c>
      <c r="D231" s="134" t="s">
        <v>400</v>
      </c>
      <c r="E231" s="73" t="s">
        <v>74</v>
      </c>
      <c r="F231" s="69"/>
      <c r="G231" s="68"/>
      <c r="H231" s="69"/>
      <c r="I231" s="69"/>
      <c r="J231" s="68"/>
      <c r="K231" s="136"/>
      <c r="L231" s="136"/>
      <c r="M231" s="136"/>
      <c r="N231" s="72"/>
      <c r="O231" s="72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4"/>
      <c r="BA231" s="64"/>
      <c r="BB231" s="64"/>
      <c r="BC231" s="140"/>
      <c r="BD231" s="140"/>
      <c r="BE231" s="74" t="str">
        <f t="shared" si="76"/>
        <v>No</v>
      </c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</row>
    <row r="232" ht="15.75" customHeight="1">
      <c r="A232" s="79"/>
      <c r="B232" s="79">
        <v>147687.0</v>
      </c>
      <c r="C232" s="79" t="s">
        <v>476</v>
      </c>
      <c r="D232" s="134" t="s">
        <v>400</v>
      </c>
      <c r="E232" s="73" t="s">
        <v>74</v>
      </c>
      <c r="F232" s="69"/>
      <c r="G232" s="68"/>
      <c r="H232" s="69"/>
      <c r="I232" s="69" t="s">
        <v>405</v>
      </c>
      <c r="J232" s="68"/>
      <c r="K232" s="136"/>
      <c r="L232" s="136"/>
      <c r="M232" s="136"/>
      <c r="N232" s="72"/>
      <c r="O232" s="72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4"/>
      <c r="BA232" s="64"/>
      <c r="BB232" s="64"/>
      <c r="BC232" s="140"/>
      <c r="BD232" s="140"/>
      <c r="BE232" s="74" t="str">
        <f t="shared" si="76"/>
        <v>No</v>
      </c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</row>
    <row r="233" ht="15.75" customHeight="1">
      <c r="A233" s="79"/>
      <c r="B233" s="79">
        <v>147694.0</v>
      </c>
      <c r="C233" s="79" t="s">
        <v>477</v>
      </c>
      <c r="D233" s="134" t="s">
        <v>400</v>
      </c>
      <c r="E233" s="73" t="s">
        <v>74</v>
      </c>
      <c r="F233" s="69"/>
      <c r="G233" s="68"/>
      <c r="H233" s="69"/>
      <c r="I233" s="69" t="s">
        <v>405</v>
      </c>
      <c r="J233" s="68"/>
      <c r="K233" s="136"/>
      <c r="L233" s="136"/>
      <c r="M233" s="136"/>
      <c r="N233" s="72"/>
      <c r="O233" s="72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4"/>
      <c r="BA233" s="64"/>
      <c r="BB233" s="64"/>
      <c r="BC233" s="140"/>
      <c r="BD233" s="140"/>
      <c r="BE233" s="74" t="str">
        <f t="shared" si="76"/>
        <v>No</v>
      </c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</row>
    <row r="234" ht="15.75" customHeight="1">
      <c r="A234" s="79"/>
      <c r="B234" s="79">
        <v>147672.0</v>
      </c>
      <c r="C234" s="79" t="s">
        <v>478</v>
      </c>
      <c r="D234" s="134" t="s">
        <v>400</v>
      </c>
      <c r="E234" s="73" t="s">
        <v>74</v>
      </c>
      <c r="F234" s="69"/>
      <c r="G234" s="68" t="s">
        <v>409</v>
      </c>
      <c r="H234" s="69"/>
      <c r="I234" s="69" t="s">
        <v>412</v>
      </c>
      <c r="J234" s="68"/>
      <c r="K234" s="136"/>
      <c r="L234" s="136"/>
      <c r="M234" s="136"/>
      <c r="N234" s="72"/>
      <c r="O234" s="72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4"/>
      <c r="BA234" s="64"/>
      <c r="BB234" s="64"/>
      <c r="BC234" s="140"/>
      <c r="BD234" s="140"/>
      <c r="BE234" s="74" t="str">
        <f t="shared" si="76"/>
        <v>No</v>
      </c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</row>
    <row r="235" ht="15.75" customHeight="1">
      <c r="A235" s="79"/>
      <c r="B235" s="79">
        <v>147867.0</v>
      </c>
      <c r="C235" s="79" t="s">
        <v>479</v>
      </c>
      <c r="D235" s="134" t="s">
        <v>400</v>
      </c>
      <c r="E235" s="73" t="s">
        <v>74</v>
      </c>
      <c r="F235" s="69"/>
      <c r="G235" s="68" t="s">
        <v>84</v>
      </c>
      <c r="H235" s="69"/>
      <c r="I235" s="69"/>
      <c r="J235" s="68"/>
      <c r="K235" s="136"/>
      <c r="L235" s="136"/>
      <c r="M235" s="136"/>
      <c r="N235" s="72"/>
      <c r="O235" s="72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4"/>
      <c r="BA235" s="64"/>
      <c r="BB235" s="64"/>
      <c r="BC235" s="140"/>
      <c r="BD235" s="140"/>
      <c r="BE235" s="74" t="str">
        <f t="shared" si="76"/>
        <v>No</v>
      </c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</row>
    <row r="236" ht="15.75" customHeight="1">
      <c r="A236" s="62"/>
      <c r="B236" s="79"/>
      <c r="C236" s="62"/>
      <c r="D236" s="62"/>
      <c r="E236" s="74"/>
      <c r="F236" s="62"/>
      <c r="G236" s="62"/>
      <c r="H236" s="62"/>
      <c r="I236" s="79"/>
      <c r="J236" s="68"/>
      <c r="K236" s="136"/>
      <c r="L236" s="136"/>
      <c r="M236" s="136"/>
      <c r="N236" s="72"/>
      <c r="O236" s="72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50"/>
      <c r="AN236" s="150"/>
      <c r="AO236" s="150"/>
      <c r="AP236" s="150"/>
      <c r="AQ236" s="150"/>
      <c r="AR236" s="150"/>
      <c r="AS236" s="150"/>
      <c r="AT236" s="150"/>
      <c r="AU236" s="150"/>
      <c r="AV236" s="150"/>
      <c r="AW236" s="150"/>
      <c r="AX236" s="150"/>
      <c r="AY236" s="150"/>
      <c r="AZ236" s="64"/>
      <c r="BA236" s="64"/>
      <c r="BB236" s="64"/>
      <c r="BC236" s="140"/>
      <c r="BD236" s="140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</row>
    <row r="237" ht="15.75" customHeight="1">
      <c r="A237" s="62"/>
      <c r="B237" s="96" t="s">
        <v>480</v>
      </c>
      <c r="C237" s="97"/>
      <c r="D237" s="96"/>
      <c r="E237" s="98"/>
      <c r="F237" s="97"/>
      <c r="G237" s="97"/>
      <c r="H237" s="97"/>
      <c r="I237" s="97"/>
      <c r="J237" s="97"/>
      <c r="K237" s="99"/>
      <c r="L237" s="100"/>
      <c r="M237" s="101"/>
      <c r="N237" s="102"/>
      <c r="O237" s="102"/>
      <c r="P237" s="103" t="s">
        <v>481</v>
      </c>
      <c r="Q237" s="103" t="s">
        <v>482</v>
      </c>
      <c r="R237" s="103" t="s">
        <v>483</v>
      </c>
      <c r="S237" s="103" t="s">
        <v>484</v>
      </c>
      <c r="T237" s="104" t="s">
        <v>485</v>
      </c>
      <c r="U237" s="105"/>
      <c r="V237" s="106"/>
      <c r="W237" s="107" t="s">
        <v>486</v>
      </c>
      <c r="X237" s="108"/>
      <c r="Y237" s="103" t="s">
        <v>487</v>
      </c>
      <c r="Z237" s="100"/>
      <c r="AA237" s="100"/>
      <c r="AB237" s="100"/>
      <c r="AC237" s="103" t="s">
        <v>488</v>
      </c>
      <c r="AD237" s="103"/>
      <c r="AE237" s="104" t="s">
        <v>392</v>
      </c>
      <c r="AF237" s="104" t="s">
        <v>489</v>
      </c>
      <c r="AG237" s="101"/>
      <c r="AH237" s="108"/>
      <c r="AI237" s="103" t="s">
        <v>490</v>
      </c>
      <c r="AJ237" s="109"/>
      <c r="AK237" s="103" t="s">
        <v>491</v>
      </c>
      <c r="AL237" s="103"/>
      <c r="AM237" s="101"/>
      <c r="AN237" s="104" t="s">
        <v>492</v>
      </c>
      <c r="AO237" s="101"/>
      <c r="AP237" s="101"/>
      <c r="AQ237" s="151"/>
      <c r="AR237" s="109"/>
      <c r="AS237" s="101"/>
      <c r="AT237" s="101"/>
      <c r="AU237" s="111"/>
      <c r="AV237" s="111"/>
      <c r="AW237" s="111"/>
      <c r="AX237" s="111"/>
      <c r="AY237" s="104" t="s">
        <v>493</v>
      </c>
      <c r="AZ237" s="112"/>
      <c r="BA237" s="112"/>
      <c r="BB237" s="112"/>
      <c r="BC237" s="113"/>
      <c r="BD237" s="70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</row>
    <row r="238" ht="15.0" customHeight="1">
      <c r="A238" s="62"/>
      <c r="B238" s="79"/>
      <c r="C238" s="62"/>
      <c r="D238" s="62"/>
      <c r="E238" s="74"/>
      <c r="F238" s="62"/>
      <c r="G238" s="62"/>
      <c r="H238" s="62"/>
      <c r="I238" s="79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143"/>
      <c r="V238" s="143"/>
      <c r="W238" s="143"/>
      <c r="X238" s="62"/>
      <c r="Y238" s="64"/>
      <c r="Z238" s="143"/>
      <c r="AA238" s="143"/>
      <c r="AB238" s="62"/>
      <c r="AC238" s="64"/>
      <c r="AD238" s="64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78"/>
      <c r="BD238" s="78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</row>
    <row r="239" ht="15.75" customHeight="1">
      <c r="A239" s="51"/>
      <c r="B239" s="117" t="s">
        <v>494</v>
      </c>
      <c r="C239" s="12"/>
      <c r="D239" s="55"/>
      <c r="E239" s="53"/>
      <c r="F239" s="53"/>
      <c r="G239" s="53"/>
      <c r="H239" s="53"/>
      <c r="I239" s="55"/>
      <c r="J239" s="56"/>
      <c r="K239" s="56"/>
      <c r="L239" s="56"/>
      <c r="M239" s="56"/>
      <c r="N239" s="56"/>
      <c r="O239" s="56"/>
      <c r="P239" s="57"/>
      <c r="Q239" s="53"/>
      <c r="R239" s="57"/>
      <c r="S239" s="53"/>
      <c r="T239" s="53"/>
      <c r="U239" s="118"/>
      <c r="V239" s="118"/>
      <c r="W239" s="118"/>
      <c r="X239" s="53"/>
      <c r="Y239" s="53"/>
      <c r="Z239" s="118"/>
      <c r="AA239" s="118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7"/>
      <c r="AT239" s="57"/>
      <c r="AU239" s="57"/>
      <c r="AV239" s="57"/>
      <c r="AW239" s="57"/>
      <c r="AX239" s="57"/>
      <c r="AY239" s="53"/>
      <c r="AZ239" s="59"/>
      <c r="BA239" s="59"/>
      <c r="BB239" s="59"/>
      <c r="BC239" s="59"/>
      <c r="BD239" s="59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</row>
    <row r="240" ht="15.75" customHeight="1">
      <c r="A240" s="79">
        <v>1.0</v>
      </c>
      <c r="B240" s="76">
        <v>141521.0</v>
      </c>
      <c r="C240" s="77" t="s">
        <v>495</v>
      </c>
      <c r="D240" s="77" t="s">
        <v>496</v>
      </c>
      <c r="E240" s="67" t="s">
        <v>69</v>
      </c>
      <c r="F240" s="62"/>
      <c r="G240" s="64" t="s">
        <v>229</v>
      </c>
      <c r="H240" s="62" t="s">
        <v>497</v>
      </c>
      <c r="I240" s="69" t="s">
        <v>498</v>
      </c>
      <c r="J240" s="135" t="s">
        <v>90</v>
      </c>
      <c r="K240" s="62"/>
      <c r="L240" s="62"/>
      <c r="M240" s="62"/>
      <c r="N240" s="62"/>
      <c r="O240" s="72">
        <v>0.97</v>
      </c>
      <c r="P240" s="68">
        <v>4.0</v>
      </c>
      <c r="Q240" s="68">
        <v>4.0</v>
      </c>
      <c r="R240" s="68">
        <v>4.0</v>
      </c>
      <c r="S240" s="68">
        <v>6.0</v>
      </c>
      <c r="T240" s="68" t="s">
        <v>75</v>
      </c>
      <c r="U240" s="68" t="s">
        <v>75</v>
      </c>
      <c r="V240" s="68" t="s">
        <v>75</v>
      </c>
      <c r="W240" s="68" t="s">
        <v>75</v>
      </c>
      <c r="X240" s="68" t="s">
        <v>75</v>
      </c>
      <c r="Y240" s="68" t="s">
        <v>75</v>
      </c>
      <c r="Z240" s="68">
        <v>1.0</v>
      </c>
      <c r="AA240" s="68">
        <v>0.75</v>
      </c>
      <c r="AB240" s="72">
        <f>(Z240-AA240)/Z240</f>
        <v>0.25</v>
      </c>
      <c r="AC240" s="68" t="s">
        <v>69</v>
      </c>
      <c r="AD240" s="68">
        <v>13.0</v>
      </c>
      <c r="AE240" s="68">
        <v>0.0</v>
      </c>
      <c r="AF240" s="68" t="s">
        <v>192</v>
      </c>
      <c r="AG240" s="68" t="s">
        <v>74</v>
      </c>
      <c r="AH240" s="68" t="s">
        <v>82</v>
      </c>
      <c r="AI240" s="68" t="s">
        <v>82</v>
      </c>
      <c r="AJ240" s="72" t="s">
        <v>75</v>
      </c>
      <c r="AK240" s="72" t="s">
        <v>75</v>
      </c>
      <c r="AL240" s="68">
        <v>2.0</v>
      </c>
      <c r="AM240" s="68">
        <v>1.0</v>
      </c>
      <c r="AN240" s="68">
        <v>1.0</v>
      </c>
      <c r="AO240" s="68">
        <v>1.0</v>
      </c>
      <c r="AP240" s="68" t="s">
        <v>69</v>
      </c>
      <c r="AQ240" s="68">
        <v>3.0</v>
      </c>
      <c r="AR240" s="68">
        <v>1.0</v>
      </c>
      <c r="AS240" s="68">
        <v>2.0</v>
      </c>
      <c r="AT240" s="68">
        <v>1.0</v>
      </c>
      <c r="AU240" s="68">
        <v>1.0</v>
      </c>
      <c r="AV240" s="68">
        <v>1.0</v>
      </c>
      <c r="AW240" s="68">
        <v>1.0</v>
      </c>
      <c r="AX240" s="68">
        <v>1.0</v>
      </c>
      <c r="AY240" s="68">
        <v>1.0</v>
      </c>
      <c r="AZ240" s="68" t="str">
        <f>P240+Q240+R240+S240+AD240+AE240+AG240+AL240+AM240+AN240+AO240+AQ240+AS240+AT240+AU240+AV240+AW240+AX240+AY240</f>
        <v>#VALUE!</v>
      </c>
      <c r="BA240" s="72" t="str">
        <f>AZ240/55</f>
        <v>#VALUE!</v>
      </c>
      <c r="BB240" s="68" t="s">
        <v>77</v>
      </c>
      <c r="BC240" s="140"/>
      <c r="BD240" s="140"/>
      <c r="BE240" s="74" t="str">
        <f>IF(O240&gt;60%,"YES","No")</f>
        <v>YES</v>
      </c>
      <c r="BF240" s="62" t="str">
        <f>C240</f>
        <v>Hockaday Lower School Re</v>
      </c>
      <c r="BG240" s="75" t="str">
        <f>I240</f>
        <v>Koko Nomura</v>
      </c>
      <c r="BH240" s="75" t="str">
        <f>IF(BA240&gt;65%,"No need to contact","need to contact")</f>
        <v>#VALUE!</v>
      </c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</row>
    <row r="241" ht="15.75" customHeight="1">
      <c r="A241" s="79">
        <v>2.0</v>
      </c>
      <c r="B241" s="76">
        <v>141236.001</v>
      </c>
      <c r="C241" s="76" t="s">
        <v>499</v>
      </c>
      <c r="D241" s="77" t="s">
        <v>496</v>
      </c>
      <c r="E241" s="67" t="s">
        <v>353</v>
      </c>
      <c r="F241" s="69"/>
      <c r="G241" s="68" t="s">
        <v>96</v>
      </c>
      <c r="H241" s="69"/>
      <c r="I241" s="69" t="s">
        <v>498</v>
      </c>
      <c r="J241" s="68"/>
      <c r="K241" s="136"/>
      <c r="L241" s="136"/>
      <c r="M241" s="136"/>
      <c r="N241" s="72"/>
      <c r="O241" s="82">
        <v>0.0</v>
      </c>
      <c r="P241" s="68"/>
      <c r="Q241" s="68"/>
      <c r="R241" s="68"/>
      <c r="S241" s="68"/>
      <c r="T241" s="68" t="s">
        <v>75</v>
      </c>
      <c r="U241" s="68" t="s">
        <v>75</v>
      </c>
      <c r="V241" s="68" t="s">
        <v>75</v>
      </c>
      <c r="W241" s="68" t="s">
        <v>75</v>
      </c>
      <c r="X241" s="68" t="s">
        <v>75</v>
      </c>
      <c r="Y241" s="68" t="s">
        <v>75</v>
      </c>
      <c r="Z241" s="68"/>
      <c r="AA241" s="68"/>
      <c r="AB241" s="68"/>
      <c r="AC241" s="68"/>
      <c r="AD241" s="68"/>
      <c r="AE241" s="68"/>
      <c r="AF241" s="68"/>
      <c r="AG241" s="68"/>
      <c r="AH241" s="72"/>
      <c r="AI241" s="68"/>
      <c r="AJ241" s="72" t="s">
        <v>75</v>
      </c>
      <c r="AK241" s="72" t="s">
        <v>75</v>
      </c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72"/>
      <c r="BB241" s="68"/>
      <c r="BC241" s="140"/>
      <c r="BD241" s="140"/>
      <c r="BE241" s="74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</row>
    <row r="242" ht="15.0" customHeight="1">
      <c r="A242" s="79">
        <v>3.0</v>
      </c>
      <c r="B242" s="76">
        <v>141518.0</v>
      </c>
      <c r="C242" s="77" t="s">
        <v>500</v>
      </c>
      <c r="D242" s="77" t="s">
        <v>496</v>
      </c>
      <c r="E242" s="67" t="s">
        <v>353</v>
      </c>
      <c r="F242" s="62"/>
      <c r="G242" s="64" t="s">
        <v>96</v>
      </c>
      <c r="H242" s="62" t="s">
        <v>497</v>
      </c>
      <c r="I242" s="69" t="s">
        <v>501</v>
      </c>
      <c r="J242" s="135" t="s">
        <v>90</v>
      </c>
      <c r="K242" s="62"/>
      <c r="L242" s="62"/>
      <c r="M242" s="62"/>
      <c r="N242" s="62"/>
      <c r="O242" s="72">
        <v>0.71</v>
      </c>
      <c r="P242" s="68">
        <v>3.0</v>
      </c>
      <c r="Q242" s="68">
        <v>0.0</v>
      </c>
      <c r="R242" s="68">
        <v>1.0</v>
      </c>
      <c r="S242" s="68">
        <v>1.0</v>
      </c>
      <c r="T242" s="68" t="s">
        <v>75</v>
      </c>
      <c r="U242" s="68" t="s">
        <v>75</v>
      </c>
      <c r="V242" s="68" t="s">
        <v>75</v>
      </c>
      <c r="W242" s="68" t="s">
        <v>75</v>
      </c>
      <c r="X242" s="68" t="s">
        <v>75</v>
      </c>
      <c r="Y242" s="68" t="s">
        <v>75</v>
      </c>
      <c r="Z242" s="68">
        <v>1.0</v>
      </c>
      <c r="AA242" s="68">
        <v>0.75</v>
      </c>
      <c r="AB242" s="72">
        <f>(Z242-AA242)/Z242</f>
        <v>0.25</v>
      </c>
      <c r="AC242" s="68" t="s">
        <v>69</v>
      </c>
      <c r="AD242" s="68">
        <v>13.0</v>
      </c>
      <c r="AE242" s="68">
        <v>0.0</v>
      </c>
      <c r="AF242" s="68" t="s">
        <v>76</v>
      </c>
      <c r="AG242" s="68" t="s">
        <v>74</v>
      </c>
      <c r="AH242" s="68" t="s">
        <v>82</v>
      </c>
      <c r="AI242" s="68" t="s">
        <v>82</v>
      </c>
      <c r="AJ242" s="72" t="s">
        <v>75</v>
      </c>
      <c r="AK242" s="72" t="s">
        <v>75</v>
      </c>
      <c r="AL242" s="68">
        <v>1.0</v>
      </c>
      <c r="AM242" s="68">
        <v>1.0</v>
      </c>
      <c r="AN242" s="68">
        <v>1.0</v>
      </c>
      <c r="AO242" s="68">
        <v>1.0</v>
      </c>
      <c r="AP242" s="68" t="s">
        <v>74</v>
      </c>
      <c r="AQ242" s="68">
        <v>1.0</v>
      </c>
      <c r="AR242" s="68">
        <v>1.0</v>
      </c>
      <c r="AS242" s="68">
        <v>1.0</v>
      </c>
      <c r="AT242" s="68">
        <v>1.0</v>
      </c>
      <c r="AU242" s="68">
        <v>1.0</v>
      </c>
      <c r="AV242" s="68">
        <v>1.0</v>
      </c>
      <c r="AW242" s="68">
        <v>1.0</v>
      </c>
      <c r="AX242" s="68">
        <v>1.0</v>
      </c>
      <c r="AY242" s="68">
        <v>1.0</v>
      </c>
      <c r="AZ242" s="68" t="str">
        <f>P242+Q242+R242+S242+AD242+AE242+AG242+AL242+AM242+AN242+AO242+AQ242+AS242+AT242+AU242+AV242+AW242+AX242+AY242</f>
        <v>#VALUE!</v>
      </c>
      <c r="BA242" s="72" t="str">
        <f>AZ242/55</f>
        <v>#VALUE!</v>
      </c>
      <c r="BB242" s="68" t="s">
        <v>185</v>
      </c>
      <c r="BC242" s="140"/>
      <c r="BD242" s="140"/>
      <c r="BE242" s="74" t="str">
        <f t="shared" ref="BE242:BE243" si="80">IF(O242&gt;60%,"YES","No")</f>
        <v>YES</v>
      </c>
      <c r="BF242" s="62" t="str">
        <f>C242</f>
        <v>FRB-NIT Space Repurpose  - Last report is this year</v>
      </c>
      <c r="BG242" s="75" t="str">
        <f>I242</f>
        <v>Dana Weldon</v>
      </c>
      <c r="BH242" s="75" t="str">
        <f>IF(BA242&gt;65%,"No need to contact","need to contact")</f>
        <v>#VALUE!</v>
      </c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</row>
    <row r="243" ht="15.75" customHeight="1">
      <c r="A243" s="79">
        <v>4.0</v>
      </c>
      <c r="B243" s="76">
        <v>141231.001</v>
      </c>
      <c r="C243" s="76" t="s">
        <v>502</v>
      </c>
      <c r="D243" s="77" t="s">
        <v>496</v>
      </c>
      <c r="E243" s="67" t="s">
        <v>353</v>
      </c>
      <c r="F243" s="62"/>
      <c r="G243" s="68" t="s">
        <v>503</v>
      </c>
      <c r="H243" s="62" t="s">
        <v>497</v>
      </c>
      <c r="I243" s="69" t="s">
        <v>504</v>
      </c>
      <c r="J243" s="68"/>
      <c r="K243" s="136"/>
      <c r="L243" s="136"/>
      <c r="M243" s="136"/>
      <c r="N243" s="72"/>
      <c r="O243" s="82">
        <v>0.0</v>
      </c>
      <c r="P243" s="68"/>
      <c r="Q243" s="68"/>
      <c r="R243" s="68"/>
      <c r="S243" s="68"/>
      <c r="T243" s="68" t="s">
        <v>75</v>
      </c>
      <c r="U243" s="68" t="s">
        <v>75</v>
      </c>
      <c r="V243" s="68" t="s">
        <v>75</v>
      </c>
      <c r="W243" s="68" t="s">
        <v>75</v>
      </c>
      <c r="X243" s="68" t="s">
        <v>75</v>
      </c>
      <c r="Y243" s="68" t="s">
        <v>75</v>
      </c>
      <c r="Z243" s="68"/>
      <c r="AA243" s="68"/>
      <c r="AB243" s="68"/>
      <c r="AC243" s="68"/>
      <c r="AD243" s="68"/>
      <c r="AE243" s="68"/>
      <c r="AF243" s="68"/>
      <c r="AG243" s="68"/>
      <c r="AH243" s="72"/>
      <c r="AI243" s="68"/>
      <c r="AJ243" s="72" t="s">
        <v>75</v>
      </c>
      <c r="AK243" s="72" t="s">
        <v>75</v>
      </c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72"/>
      <c r="BB243" s="68"/>
      <c r="BC243" s="140"/>
      <c r="BD243" s="140"/>
      <c r="BE243" s="74" t="str">
        <f t="shared" si="80"/>
        <v>No</v>
      </c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</row>
    <row r="244" ht="15.0" customHeight="1">
      <c r="A244" s="79">
        <v>5.0</v>
      </c>
      <c r="B244" s="76">
        <v>141520.001</v>
      </c>
      <c r="C244" s="76" t="s">
        <v>505</v>
      </c>
      <c r="D244" s="77" t="s">
        <v>496</v>
      </c>
      <c r="E244" s="67" t="s">
        <v>69</v>
      </c>
      <c r="F244" s="158"/>
      <c r="G244" s="68" t="s">
        <v>506</v>
      </c>
      <c r="H244" s="69"/>
      <c r="I244" s="69" t="s">
        <v>501</v>
      </c>
      <c r="J244" s="68"/>
      <c r="K244" s="136"/>
      <c r="L244" s="136"/>
      <c r="M244" s="136"/>
      <c r="N244" s="72"/>
      <c r="O244" s="82">
        <v>0.0</v>
      </c>
      <c r="P244" s="68"/>
      <c r="Q244" s="68"/>
      <c r="R244" s="68"/>
      <c r="S244" s="68"/>
      <c r="T244" s="68" t="s">
        <v>75</v>
      </c>
      <c r="U244" s="68" t="s">
        <v>75</v>
      </c>
      <c r="V244" s="68" t="s">
        <v>75</v>
      </c>
      <c r="W244" s="68" t="s">
        <v>75</v>
      </c>
      <c r="X244" s="68" t="s">
        <v>75</v>
      </c>
      <c r="Y244" s="68" t="s">
        <v>75</v>
      </c>
      <c r="Z244" s="68"/>
      <c r="AA244" s="68"/>
      <c r="AB244" s="68"/>
      <c r="AC244" s="68"/>
      <c r="AD244" s="68"/>
      <c r="AE244" s="68"/>
      <c r="AF244" s="68"/>
      <c r="AG244" s="68"/>
      <c r="AH244" s="72"/>
      <c r="AI244" s="68"/>
      <c r="AJ244" s="72" t="s">
        <v>75</v>
      </c>
      <c r="AK244" s="72" t="s">
        <v>75</v>
      </c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72"/>
      <c r="BB244" s="68"/>
      <c r="BC244" s="140"/>
      <c r="BD244" s="140"/>
      <c r="BE244" s="74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</row>
    <row r="245" ht="15.75" customHeight="1">
      <c r="A245" s="79">
        <v>6.0</v>
      </c>
      <c r="B245" s="76">
        <v>141254.0</v>
      </c>
      <c r="C245" s="76" t="s">
        <v>507</v>
      </c>
      <c r="D245" s="77" t="s">
        <v>496</v>
      </c>
      <c r="E245" s="158" t="s">
        <v>69</v>
      </c>
      <c r="F245" s="69"/>
      <c r="G245" s="68" t="s">
        <v>96</v>
      </c>
      <c r="H245" s="69"/>
      <c r="I245" s="69" t="s">
        <v>508</v>
      </c>
      <c r="J245" s="68"/>
      <c r="K245" s="136"/>
      <c r="L245" s="136"/>
      <c r="M245" s="136"/>
      <c r="N245" s="72"/>
      <c r="O245" s="72">
        <v>0.97</v>
      </c>
      <c r="P245" s="68">
        <v>4.0</v>
      </c>
      <c r="Q245" s="68">
        <v>3.0</v>
      </c>
      <c r="R245" s="68">
        <v>4.0</v>
      </c>
      <c r="S245" s="68">
        <v>6.0</v>
      </c>
      <c r="T245" s="68" t="s">
        <v>75</v>
      </c>
      <c r="U245" s="68" t="s">
        <v>75</v>
      </c>
      <c r="V245" s="68" t="s">
        <v>75</v>
      </c>
      <c r="W245" s="68" t="s">
        <v>75</v>
      </c>
      <c r="X245" s="68" t="s">
        <v>75</v>
      </c>
      <c r="Y245" s="68" t="s">
        <v>75</v>
      </c>
      <c r="Z245" s="68">
        <v>1.0</v>
      </c>
      <c r="AA245" s="68">
        <v>0.42</v>
      </c>
      <c r="AB245" s="72">
        <f>(Z245-AA245)/Z245</f>
        <v>0.58</v>
      </c>
      <c r="AC245" s="68" t="s">
        <v>69</v>
      </c>
      <c r="AD245" s="68">
        <v>13.0</v>
      </c>
      <c r="AE245" s="68">
        <v>0.0</v>
      </c>
      <c r="AF245" s="68" t="s">
        <v>192</v>
      </c>
      <c r="AG245" s="68" t="s">
        <v>74</v>
      </c>
      <c r="AH245" s="139">
        <v>0.25</v>
      </c>
      <c r="AI245" s="68" t="s">
        <v>74</v>
      </c>
      <c r="AJ245" s="72" t="s">
        <v>75</v>
      </c>
      <c r="AK245" s="72" t="s">
        <v>75</v>
      </c>
      <c r="AL245" s="68">
        <v>5.0</v>
      </c>
      <c r="AM245" s="68">
        <v>1.0</v>
      </c>
      <c r="AN245" s="68">
        <v>3.0</v>
      </c>
      <c r="AO245" s="68">
        <v>1.0</v>
      </c>
      <c r="AP245" s="68" t="s">
        <v>69</v>
      </c>
      <c r="AQ245" s="68">
        <v>3.0</v>
      </c>
      <c r="AR245" s="68">
        <v>1.0</v>
      </c>
      <c r="AS245" s="68">
        <v>2.0</v>
      </c>
      <c r="AT245" s="68">
        <v>1.0</v>
      </c>
      <c r="AU245" s="68">
        <v>1.0</v>
      </c>
      <c r="AV245" s="68">
        <v>1.0</v>
      </c>
      <c r="AW245" s="68">
        <v>1.0</v>
      </c>
      <c r="AX245" s="68">
        <v>1.0</v>
      </c>
      <c r="AY245" s="68">
        <v>1.0</v>
      </c>
      <c r="AZ245" s="68" t="str">
        <f>P245+Q245+R245+S245+AD245+AE245+AG245+AL245+AM245+AN245+AO245+AQ245+AS245+AT245+AU245+AV245+AW245+AX245+AY245</f>
        <v>#VALUE!</v>
      </c>
      <c r="BA245" s="72" t="str">
        <f>AZ245/55</f>
        <v>#VALUE!</v>
      </c>
      <c r="BB245" s="68" t="s">
        <v>77</v>
      </c>
      <c r="BC245" s="140"/>
      <c r="BD245" s="140"/>
      <c r="BE245" s="74" t="str">
        <f>IF(O245&gt;60%,"YES","No")</f>
        <v>YES</v>
      </c>
      <c r="BF245" s="62" t="str">
        <f>C245</f>
        <v>Mr Cooper  - Last report is this year</v>
      </c>
      <c r="BG245" s="75" t="str">
        <f>I245</f>
        <v>Amber Wernik / Caroline</v>
      </c>
      <c r="BH245" s="75" t="str">
        <f>IF(BA245&gt;65%,"No need to contact","need to contact")</f>
        <v>#VALUE!</v>
      </c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</row>
    <row r="246" ht="15.0" customHeight="1">
      <c r="A246" s="79">
        <v>7.0</v>
      </c>
      <c r="B246" s="76">
        <v>820990.007</v>
      </c>
      <c r="C246" s="76" t="s">
        <v>509</v>
      </c>
      <c r="D246" s="77" t="s">
        <v>496</v>
      </c>
      <c r="E246" s="67" t="s">
        <v>69</v>
      </c>
      <c r="F246" s="158"/>
      <c r="G246" s="68" t="s">
        <v>96</v>
      </c>
      <c r="H246" s="69"/>
      <c r="I246" s="69" t="s">
        <v>510</v>
      </c>
      <c r="J246" s="68"/>
      <c r="K246" s="136"/>
      <c r="L246" s="136"/>
      <c r="M246" s="136"/>
      <c r="N246" s="72"/>
      <c r="O246" s="72">
        <v>0.64</v>
      </c>
      <c r="P246" s="68">
        <v>4.0</v>
      </c>
      <c r="Q246" s="68">
        <v>4.0</v>
      </c>
      <c r="R246" s="68">
        <v>4.0</v>
      </c>
      <c r="S246" s="68">
        <v>6.0</v>
      </c>
      <c r="T246" s="68" t="s">
        <v>75</v>
      </c>
      <c r="U246" s="68" t="s">
        <v>75</v>
      </c>
      <c r="V246" s="68" t="s">
        <v>75</v>
      </c>
      <c r="W246" s="68" t="s">
        <v>75</v>
      </c>
      <c r="X246" s="68" t="s">
        <v>75</v>
      </c>
      <c r="Y246" s="68" t="s">
        <v>75</v>
      </c>
      <c r="Z246" s="68" t="s">
        <v>82</v>
      </c>
      <c r="AA246" s="68" t="s">
        <v>82</v>
      </c>
      <c r="AB246" s="68" t="s">
        <v>82</v>
      </c>
      <c r="AC246" s="68" t="s">
        <v>82</v>
      </c>
      <c r="AD246" s="68">
        <v>1.0</v>
      </c>
      <c r="AE246" s="68">
        <v>0.0</v>
      </c>
      <c r="AF246" s="68" t="s">
        <v>196</v>
      </c>
      <c r="AG246" s="68" t="s">
        <v>74</v>
      </c>
      <c r="AH246" s="72" t="s">
        <v>75</v>
      </c>
      <c r="AI246" s="72" t="s">
        <v>75</v>
      </c>
      <c r="AJ246" s="72" t="s">
        <v>75</v>
      </c>
      <c r="AK246" s="72" t="s">
        <v>75</v>
      </c>
      <c r="AL246" s="68">
        <v>0.0</v>
      </c>
      <c r="AM246" s="68">
        <v>1.0</v>
      </c>
      <c r="AN246" s="68">
        <v>0.0</v>
      </c>
      <c r="AO246" s="68">
        <v>0.0</v>
      </c>
      <c r="AP246" s="68" t="s">
        <v>74</v>
      </c>
      <c r="AQ246" s="68">
        <v>0.0</v>
      </c>
      <c r="AR246" s="68">
        <v>0.0</v>
      </c>
      <c r="AS246" s="68">
        <v>0.0</v>
      </c>
      <c r="AT246" s="68">
        <v>0.0</v>
      </c>
      <c r="AU246" s="68">
        <v>0.0</v>
      </c>
      <c r="AV246" s="68">
        <v>0.0</v>
      </c>
      <c r="AW246" s="68">
        <v>0.0</v>
      </c>
      <c r="AX246" s="68">
        <v>0.0</v>
      </c>
      <c r="AY246" s="68">
        <v>0.0</v>
      </c>
      <c r="AZ246" s="68"/>
      <c r="BA246" s="72"/>
      <c r="BB246" s="68"/>
      <c r="BC246" s="140"/>
      <c r="BD246" s="140"/>
      <c r="BE246" s="74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</row>
    <row r="247" ht="15.75" customHeight="1">
      <c r="A247" s="79">
        <v>8.0</v>
      </c>
      <c r="B247" s="76">
        <v>141260.0</v>
      </c>
      <c r="C247" s="76" t="s">
        <v>511</v>
      </c>
      <c r="D247" s="77" t="s">
        <v>496</v>
      </c>
      <c r="E247" s="158" t="s">
        <v>69</v>
      </c>
      <c r="F247" s="69"/>
      <c r="G247" s="68" t="s">
        <v>96</v>
      </c>
      <c r="H247" s="69"/>
      <c r="I247" s="69" t="s">
        <v>501</v>
      </c>
      <c r="J247" s="68"/>
      <c r="K247" s="136"/>
      <c r="L247" s="136"/>
      <c r="M247" s="136"/>
      <c r="N247" s="72"/>
      <c r="O247" s="82">
        <v>0.0</v>
      </c>
      <c r="P247" s="68"/>
      <c r="Q247" s="68"/>
      <c r="R247" s="68"/>
      <c r="S247" s="68"/>
      <c r="T247" s="68"/>
      <c r="U247" s="68"/>
      <c r="V247" s="68"/>
      <c r="W247" s="68"/>
      <c r="X247" s="72"/>
      <c r="Y247" s="68"/>
      <c r="Z247" s="68"/>
      <c r="AA247" s="68"/>
      <c r="AB247" s="68"/>
      <c r="AC247" s="68"/>
      <c r="AD247" s="68"/>
      <c r="AE247" s="68"/>
      <c r="AF247" s="68"/>
      <c r="AG247" s="68"/>
      <c r="AH247" s="72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72"/>
      <c r="BB247" s="68"/>
      <c r="BC247" s="140"/>
      <c r="BD247" s="140"/>
      <c r="BE247" s="74"/>
      <c r="BF247" s="62"/>
      <c r="BG247" s="75"/>
      <c r="BH247" s="75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</row>
    <row r="248" ht="15.75" customHeight="1">
      <c r="A248" s="79">
        <v>9.0</v>
      </c>
      <c r="B248" s="76">
        <v>141248.001</v>
      </c>
      <c r="C248" s="76" t="s">
        <v>512</v>
      </c>
      <c r="D248" s="77" t="s">
        <v>496</v>
      </c>
      <c r="E248" s="158" t="s">
        <v>69</v>
      </c>
      <c r="F248" s="69"/>
      <c r="G248" s="68" t="s">
        <v>96</v>
      </c>
      <c r="H248" s="69"/>
      <c r="I248" s="69" t="s">
        <v>501</v>
      </c>
      <c r="J248" s="68"/>
      <c r="K248" s="136"/>
      <c r="L248" s="136"/>
      <c r="M248" s="136"/>
      <c r="N248" s="72"/>
      <c r="O248" s="82">
        <v>0.0</v>
      </c>
      <c r="P248" s="68"/>
      <c r="Q248" s="68"/>
      <c r="R248" s="68"/>
      <c r="S248" s="68"/>
      <c r="T248" s="68"/>
      <c r="U248" s="68"/>
      <c r="V248" s="68"/>
      <c r="W248" s="68"/>
      <c r="X248" s="72"/>
      <c r="Y248" s="68"/>
      <c r="Z248" s="68"/>
      <c r="AA248" s="68"/>
      <c r="AB248" s="68"/>
      <c r="AC248" s="68"/>
      <c r="AD248" s="68"/>
      <c r="AE248" s="68"/>
      <c r="AF248" s="68"/>
      <c r="AG248" s="68"/>
      <c r="AH248" s="72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72"/>
      <c r="BB248" s="68"/>
      <c r="BC248" s="140"/>
      <c r="BD248" s="140"/>
      <c r="BE248" s="74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</row>
    <row r="249" ht="15.75" customHeight="1">
      <c r="A249" s="79">
        <v>10.0</v>
      </c>
      <c r="B249" s="76">
        <v>141234.0</v>
      </c>
      <c r="C249" s="77" t="s">
        <v>513</v>
      </c>
      <c r="D249" s="77" t="s">
        <v>496</v>
      </c>
      <c r="E249" s="67" t="s">
        <v>353</v>
      </c>
      <c r="F249" s="159"/>
      <c r="G249" s="73" t="s">
        <v>191</v>
      </c>
      <c r="H249" s="62"/>
      <c r="I249" s="69" t="s">
        <v>498</v>
      </c>
      <c r="J249" s="62"/>
      <c r="K249" s="62"/>
      <c r="L249" s="62"/>
      <c r="M249" s="62"/>
      <c r="N249" s="62"/>
      <c r="O249" s="82">
        <v>0.0</v>
      </c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62"/>
      <c r="AC249" s="62"/>
      <c r="AD249" s="62"/>
      <c r="AE249" s="62"/>
      <c r="AF249" s="62"/>
      <c r="AG249" s="62"/>
      <c r="AH249" s="62"/>
      <c r="AI249" s="62"/>
      <c r="AJ249" s="160"/>
      <c r="AK249" s="160"/>
      <c r="AL249" s="160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72">
        <f>AZ249/55</f>
        <v>0</v>
      </c>
      <c r="BB249" s="62"/>
      <c r="BC249" s="78"/>
      <c r="BD249" s="78"/>
      <c r="BE249" s="74" t="str">
        <f>IF(O249&gt;60%,"YES","No")</f>
        <v>No</v>
      </c>
      <c r="BF249" s="62" t="str">
        <f>C249</f>
        <v>Hockaday Student Center - On Hold</v>
      </c>
      <c r="BG249" s="75" t="str">
        <f>I249</f>
        <v>Koko Nomura</v>
      </c>
      <c r="BH249" s="75" t="str">
        <f>IF(BA249&gt;65%,"No need to contact","need to contact")</f>
        <v>need to contact</v>
      </c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</row>
    <row r="250" ht="15.0" customHeight="1">
      <c r="A250" s="79"/>
      <c r="B250" s="79"/>
      <c r="C250" s="79"/>
      <c r="D250" s="79"/>
      <c r="E250" s="67"/>
      <c r="F250" s="69"/>
      <c r="G250" s="68"/>
      <c r="H250" s="69"/>
      <c r="I250" s="69"/>
      <c r="J250" s="68"/>
      <c r="K250" s="136"/>
      <c r="L250" s="136"/>
      <c r="M250" s="136"/>
      <c r="N250" s="72"/>
      <c r="O250" s="72"/>
      <c r="P250" s="68"/>
      <c r="Q250" s="68"/>
      <c r="R250" s="68"/>
      <c r="S250" s="68"/>
      <c r="T250" s="68"/>
      <c r="U250" s="68"/>
      <c r="V250" s="68"/>
      <c r="W250" s="68"/>
      <c r="X250" s="72"/>
      <c r="Y250" s="68"/>
      <c r="Z250" s="68"/>
      <c r="AA250" s="68"/>
      <c r="AB250" s="68"/>
      <c r="AC250" s="68"/>
      <c r="AD250" s="68"/>
      <c r="AE250" s="68"/>
      <c r="AF250" s="68"/>
      <c r="AG250" s="68"/>
      <c r="AH250" s="72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72"/>
      <c r="BB250" s="68"/>
      <c r="BC250" s="140"/>
      <c r="BD250" s="140"/>
      <c r="BE250" s="74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</row>
    <row r="251" ht="15.0" customHeight="1">
      <c r="A251" s="79"/>
      <c r="B251" s="79">
        <v>141523.0</v>
      </c>
      <c r="C251" s="79" t="s">
        <v>514</v>
      </c>
      <c r="D251" s="79" t="s">
        <v>496</v>
      </c>
      <c r="E251" s="73" t="s">
        <v>436</v>
      </c>
      <c r="F251" s="69" t="s">
        <v>510</v>
      </c>
      <c r="G251" s="68" t="s">
        <v>515</v>
      </c>
      <c r="H251" s="69"/>
      <c r="I251" s="69" t="s">
        <v>510</v>
      </c>
      <c r="J251" s="68"/>
      <c r="K251" s="136"/>
      <c r="L251" s="136"/>
      <c r="M251" s="136"/>
      <c r="N251" s="72"/>
      <c r="O251" s="72"/>
      <c r="P251" s="68"/>
      <c r="Q251" s="68"/>
      <c r="R251" s="68"/>
      <c r="S251" s="68"/>
      <c r="T251" s="68"/>
      <c r="U251" s="68"/>
      <c r="V251" s="68"/>
      <c r="W251" s="68"/>
      <c r="X251" s="72"/>
      <c r="Y251" s="68"/>
      <c r="Z251" s="68"/>
      <c r="AA251" s="68"/>
      <c r="AB251" s="68"/>
      <c r="AC251" s="68"/>
      <c r="AD251" s="68"/>
      <c r="AE251" s="68"/>
      <c r="AF251" s="68"/>
      <c r="AG251" s="68"/>
      <c r="AH251" s="72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72"/>
      <c r="BB251" s="68"/>
      <c r="BC251" s="140"/>
      <c r="BD251" s="140"/>
      <c r="BE251" s="74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</row>
    <row r="252" ht="15.75" customHeight="1">
      <c r="A252" s="79"/>
      <c r="B252" s="79">
        <v>141257.0</v>
      </c>
      <c r="C252" s="79" t="s">
        <v>516</v>
      </c>
      <c r="D252" s="79" t="s">
        <v>496</v>
      </c>
      <c r="E252" s="161" t="s">
        <v>74</v>
      </c>
      <c r="F252" s="69"/>
      <c r="G252" s="68" t="s">
        <v>517</v>
      </c>
      <c r="H252" s="69"/>
      <c r="I252" s="69" t="s">
        <v>518</v>
      </c>
      <c r="J252" s="68"/>
      <c r="K252" s="136"/>
      <c r="L252" s="136"/>
      <c r="M252" s="136"/>
      <c r="N252" s="72"/>
      <c r="O252" s="72"/>
      <c r="P252" s="68"/>
      <c r="Q252" s="68"/>
      <c r="R252" s="68"/>
      <c r="S252" s="68"/>
      <c r="T252" s="68"/>
      <c r="U252" s="68"/>
      <c r="V252" s="68"/>
      <c r="W252" s="68"/>
      <c r="X252" s="72"/>
      <c r="Y252" s="68"/>
      <c r="Z252" s="68"/>
      <c r="AA252" s="68"/>
      <c r="AB252" s="68"/>
      <c r="AC252" s="68"/>
      <c r="AD252" s="68"/>
      <c r="AE252" s="68"/>
      <c r="AF252" s="68"/>
      <c r="AG252" s="68"/>
      <c r="AH252" s="72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72"/>
      <c r="BB252" s="68"/>
      <c r="BC252" s="140"/>
      <c r="BD252" s="140"/>
      <c r="BE252" s="74" t="str">
        <f t="shared" ref="BE252:BE254" si="81">IF(O252&gt;60%,"YES","No")</f>
        <v>No</v>
      </c>
      <c r="BF252" s="62" t="str">
        <f>C252</f>
        <v>Divcon Controls Reno (a little more than a Test Fit)</v>
      </c>
      <c r="BG252" s="75"/>
      <c r="BH252" s="75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</row>
    <row r="253" ht="15.75" customHeight="1">
      <c r="A253" s="79"/>
      <c r="B253" s="79">
        <v>141246.0</v>
      </c>
      <c r="C253" s="79" t="s">
        <v>519</v>
      </c>
      <c r="D253" s="79" t="s">
        <v>496</v>
      </c>
      <c r="E253" s="161" t="s">
        <v>74</v>
      </c>
      <c r="F253" s="158"/>
      <c r="G253" s="68" t="s">
        <v>464</v>
      </c>
      <c r="H253" s="69"/>
      <c r="I253" s="69" t="s">
        <v>520</v>
      </c>
      <c r="J253" s="68"/>
      <c r="K253" s="136"/>
      <c r="L253" s="136"/>
      <c r="M253" s="136"/>
      <c r="N253" s="72"/>
      <c r="O253" s="72"/>
      <c r="P253" s="68"/>
      <c r="Q253" s="68"/>
      <c r="R253" s="68"/>
      <c r="S253" s="68"/>
      <c r="T253" s="68"/>
      <c r="U253" s="68"/>
      <c r="V253" s="68"/>
      <c r="W253" s="68"/>
      <c r="X253" s="72"/>
      <c r="Y253" s="68"/>
      <c r="Z253" s="68"/>
      <c r="AA253" s="68"/>
      <c r="AB253" s="68"/>
      <c r="AC253" s="68"/>
      <c r="AD253" s="68"/>
      <c r="AE253" s="68"/>
      <c r="AF253" s="68"/>
      <c r="AG253" s="68"/>
      <c r="AH253" s="72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72"/>
      <c r="BB253" s="68"/>
      <c r="BC253" s="140"/>
      <c r="BD253" s="140"/>
      <c r="BE253" s="74" t="str">
        <f t="shared" si="81"/>
        <v>No</v>
      </c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</row>
    <row r="254" ht="15.75" customHeight="1">
      <c r="A254" s="79"/>
      <c r="B254" s="79">
        <v>141256.0</v>
      </c>
      <c r="C254" s="79" t="s">
        <v>521</v>
      </c>
      <c r="D254" s="79" t="s">
        <v>496</v>
      </c>
      <c r="E254" s="161" t="s">
        <v>74</v>
      </c>
      <c r="F254" s="158"/>
      <c r="G254" s="68" t="s">
        <v>464</v>
      </c>
      <c r="H254" s="69"/>
      <c r="I254" s="69" t="s">
        <v>520</v>
      </c>
      <c r="J254" s="68"/>
      <c r="K254" s="136"/>
      <c r="L254" s="136"/>
      <c r="M254" s="136"/>
      <c r="N254" s="72"/>
      <c r="O254" s="72"/>
      <c r="P254" s="68"/>
      <c r="Q254" s="68"/>
      <c r="R254" s="68"/>
      <c r="S254" s="68"/>
      <c r="T254" s="68"/>
      <c r="U254" s="68"/>
      <c r="V254" s="68"/>
      <c r="W254" s="68"/>
      <c r="X254" s="72"/>
      <c r="Y254" s="68"/>
      <c r="Z254" s="68"/>
      <c r="AA254" s="68"/>
      <c r="AB254" s="68"/>
      <c r="AC254" s="68"/>
      <c r="AD254" s="68"/>
      <c r="AE254" s="68"/>
      <c r="AF254" s="68"/>
      <c r="AG254" s="68"/>
      <c r="AH254" s="72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72"/>
      <c r="BB254" s="68"/>
      <c r="BC254" s="140"/>
      <c r="BD254" s="140"/>
      <c r="BE254" s="74" t="str">
        <f t="shared" si="81"/>
        <v>No</v>
      </c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</row>
    <row r="255" ht="15.75" customHeight="1">
      <c r="A255" s="79"/>
      <c r="B255" s="79">
        <v>141258.0</v>
      </c>
      <c r="C255" s="79" t="s">
        <v>522</v>
      </c>
      <c r="D255" s="79" t="s">
        <v>496</v>
      </c>
      <c r="E255" s="161" t="s">
        <v>98</v>
      </c>
      <c r="F255" s="158"/>
      <c r="G255" s="68"/>
      <c r="H255" s="69"/>
      <c r="I255" s="69" t="s">
        <v>520</v>
      </c>
      <c r="J255" s="68"/>
      <c r="K255" s="136"/>
      <c r="L255" s="136"/>
      <c r="M255" s="136"/>
      <c r="N255" s="72"/>
      <c r="O255" s="72"/>
      <c r="P255" s="68"/>
      <c r="Q255" s="68"/>
      <c r="R255" s="68"/>
      <c r="S255" s="68"/>
      <c r="T255" s="68"/>
      <c r="U255" s="68"/>
      <c r="V255" s="68"/>
      <c r="W255" s="68"/>
      <c r="X255" s="72"/>
      <c r="Y255" s="68"/>
      <c r="Z255" s="68"/>
      <c r="AA255" s="68"/>
      <c r="AB255" s="68"/>
      <c r="AC255" s="68"/>
      <c r="AD255" s="68"/>
      <c r="AE255" s="68"/>
      <c r="AF255" s="68"/>
      <c r="AG255" s="68"/>
      <c r="AH255" s="72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72"/>
      <c r="BB255" s="68"/>
      <c r="BC255" s="140"/>
      <c r="BD255" s="140"/>
      <c r="BE255" s="74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</row>
    <row r="256" ht="15.75" customHeight="1">
      <c r="A256" s="79"/>
      <c r="B256" s="79">
        <v>141516.0</v>
      </c>
      <c r="C256" s="79" t="s">
        <v>523</v>
      </c>
      <c r="D256" s="79" t="s">
        <v>496</v>
      </c>
      <c r="E256" s="161" t="s">
        <v>74</v>
      </c>
      <c r="F256" s="69"/>
      <c r="G256" s="68" t="s">
        <v>524</v>
      </c>
      <c r="H256" s="69"/>
      <c r="I256" s="69" t="s">
        <v>510</v>
      </c>
      <c r="J256" s="68"/>
      <c r="K256" s="136"/>
      <c r="L256" s="136"/>
      <c r="M256" s="136"/>
      <c r="N256" s="72"/>
      <c r="O256" s="72"/>
      <c r="P256" s="68"/>
      <c r="Q256" s="68"/>
      <c r="R256" s="68"/>
      <c r="S256" s="68"/>
      <c r="T256" s="68"/>
      <c r="U256" s="68"/>
      <c r="V256" s="68"/>
      <c r="W256" s="68"/>
      <c r="X256" s="72"/>
      <c r="Y256" s="68"/>
      <c r="Z256" s="68"/>
      <c r="AA256" s="68"/>
      <c r="AB256" s="68"/>
      <c r="AC256" s="68"/>
      <c r="AD256" s="68"/>
      <c r="AE256" s="68"/>
      <c r="AF256" s="68"/>
      <c r="AG256" s="68"/>
      <c r="AH256" s="72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72"/>
      <c r="BB256" s="68"/>
      <c r="BC256" s="140"/>
      <c r="BD256" s="140"/>
      <c r="BE256" s="74" t="str">
        <f>IF(O256&gt;60%,"YES","No")</f>
        <v>No</v>
      </c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</row>
    <row r="257" ht="15.0" customHeight="1">
      <c r="A257" s="79"/>
      <c r="B257" s="79">
        <v>141255.0</v>
      </c>
      <c r="C257" s="79" t="s">
        <v>525</v>
      </c>
      <c r="D257" s="79" t="s">
        <v>496</v>
      </c>
      <c r="E257" s="161" t="s">
        <v>74</v>
      </c>
      <c r="F257" s="69"/>
      <c r="G257" s="115" t="s">
        <v>526</v>
      </c>
      <c r="H257" s="69"/>
      <c r="I257" s="69" t="s">
        <v>527</v>
      </c>
      <c r="J257" s="68"/>
      <c r="K257" s="136"/>
      <c r="L257" s="136"/>
      <c r="M257" s="136"/>
      <c r="N257" s="72"/>
      <c r="O257" s="72"/>
      <c r="P257" s="68"/>
      <c r="Q257" s="68"/>
      <c r="R257" s="68"/>
      <c r="S257" s="68"/>
      <c r="T257" s="68"/>
      <c r="U257" s="68"/>
      <c r="V257" s="68"/>
      <c r="W257" s="68"/>
      <c r="X257" s="72"/>
      <c r="Y257" s="68"/>
      <c r="Z257" s="68"/>
      <c r="AA257" s="68"/>
      <c r="AB257" s="68"/>
      <c r="AC257" s="68"/>
      <c r="AD257" s="68"/>
      <c r="AE257" s="68"/>
      <c r="AF257" s="68"/>
      <c r="AG257" s="68"/>
      <c r="AH257" s="72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72"/>
      <c r="BB257" s="68"/>
      <c r="BC257" s="140"/>
      <c r="BD257" s="140"/>
      <c r="BE257" s="74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</row>
    <row r="258" ht="15.0" customHeight="1">
      <c r="A258" s="79"/>
      <c r="B258" s="79">
        <v>820990.008</v>
      </c>
      <c r="C258" s="79" t="s">
        <v>528</v>
      </c>
      <c r="D258" s="79" t="s">
        <v>496</v>
      </c>
      <c r="E258" s="73" t="s">
        <v>74</v>
      </c>
      <c r="F258" s="158"/>
      <c r="G258" s="135"/>
      <c r="H258" s="69"/>
      <c r="I258" s="69" t="s">
        <v>510</v>
      </c>
      <c r="J258" s="68"/>
      <c r="K258" s="136"/>
      <c r="L258" s="136"/>
      <c r="M258" s="136"/>
      <c r="N258" s="72"/>
      <c r="O258" s="72"/>
      <c r="P258" s="68"/>
      <c r="Q258" s="68"/>
      <c r="R258" s="68"/>
      <c r="S258" s="68"/>
      <c r="T258" s="68"/>
      <c r="U258" s="68"/>
      <c r="V258" s="68"/>
      <c r="W258" s="68"/>
      <c r="X258" s="72"/>
      <c r="Y258" s="68"/>
      <c r="Z258" s="68"/>
      <c r="AA258" s="68"/>
      <c r="AB258" s="68"/>
      <c r="AC258" s="68"/>
      <c r="AD258" s="68"/>
      <c r="AE258" s="68"/>
      <c r="AF258" s="68"/>
      <c r="AG258" s="68"/>
      <c r="AH258" s="72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72"/>
      <c r="BB258" s="68"/>
      <c r="BC258" s="140"/>
      <c r="BD258" s="140"/>
      <c r="BE258" s="74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</row>
    <row r="259" ht="15.0" customHeight="1">
      <c r="A259" s="79"/>
      <c r="B259" s="79">
        <v>820991.005</v>
      </c>
      <c r="C259" s="79" t="s">
        <v>529</v>
      </c>
      <c r="D259" s="79" t="s">
        <v>496</v>
      </c>
      <c r="E259" s="73" t="s">
        <v>74</v>
      </c>
      <c r="F259" s="158"/>
      <c r="G259" s="135"/>
      <c r="H259" s="69"/>
      <c r="I259" s="69" t="s">
        <v>510</v>
      </c>
      <c r="J259" s="68"/>
      <c r="K259" s="136"/>
      <c r="L259" s="136"/>
      <c r="M259" s="136"/>
      <c r="N259" s="72"/>
      <c r="O259" s="72"/>
      <c r="P259" s="68"/>
      <c r="Q259" s="68"/>
      <c r="R259" s="68"/>
      <c r="S259" s="68"/>
      <c r="T259" s="68"/>
      <c r="U259" s="68"/>
      <c r="V259" s="68"/>
      <c r="W259" s="68"/>
      <c r="X259" s="72"/>
      <c r="Y259" s="68"/>
      <c r="Z259" s="68"/>
      <c r="AA259" s="68"/>
      <c r="AB259" s="68"/>
      <c r="AC259" s="68"/>
      <c r="AD259" s="68"/>
      <c r="AE259" s="68"/>
      <c r="AF259" s="68"/>
      <c r="AG259" s="68"/>
      <c r="AH259" s="72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72"/>
      <c r="BB259" s="68"/>
      <c r="BC259" s="140"/>
      <c r="BD259" s="140"/>
      <c r="BE259" s="74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</row>
    <row r="260" ht="15.0" customHeight="1">
      <c r="A260" s="79"/>
      <c r="B260" s="79">
        <v>820990.014</v>
      </c>
      <c r="C260" s="79" t="s">
        <v>530</v>
      </c>
      <c r="D260" s="79" t="s">
        <v>496</v>
      </c>
      <c r="E260" s="73" t="s">
        <v>74</v>
      </c>
      <c r="F260" s="158"/>
      <c r="G260" s="135"/>
      <c r="H260" s="69"/>
      <c r="I260" s="69" t="s">
        <v>510</v>
      </c>
      <c r="J260" s="68"/>
      <c r="K260" s="136"/>
      <c r="L260" s="136"/>
      <c r="M260" s="136"/>
      <c r="N260" s="72"/>
      <c r="O260" s="72"/>
      <c r="P260" s="68"/>
      <c r="Q260" s="68"/>
      <c r="R260" s="68"/>
      <c r="S260" s="68"/>
      <c r="T260" s="68"/>
      <c r="U260" s="68"/>
      <c r="V260" s="68"/>
      <c r="W260" s="68"/>
      <c r="X260" s="72"/>
      <c r="Y260" s="68"/>
      <c r="Z260" s="68"/>
      <c r="AA260" s="68"/>
      <c r="AB260" s="68"/>
      <c r="AC260" s="68"/>
      <c r="AD260" s="68"/>
      <c r="AE260" s="68"/>
      <c r="AF260" s="68"/>
      <c r="AG260" s="68"/>
      <c r="AH260" s="72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72"/>
      <c r="BB260" s="68"/>
      <c r="BC260" s="140"/>
      <c r="BD260" s="140"/>
      <c r="BE260" s="74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</row>
    <row r="261" ht="15.0" customHeight="1">
      <c r="A261" s="62"/>
      <c r="B261" s="79"/>
      <c r="C261" s="62"/>
      <c r="D261" s="62"/>
      <c r="E261" s="74"/>
      <c r="F261" s="62"/>
      <c r="G261" s="62"/>
      <c r="H261" s="62"/>
      <c r="I261" s="79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143"/>
      <c r="V261" s="143"/>
      <c r="W261" s="143"/>
      <c r="X261" s="62"/>
      <c r="Y261" s="62"/>
      <c r="Z261" s="143"/>
      <c r="AA261" s="143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72">
        <f>AZ261/55</f>
        <v>0</v>
      </c>
      <c r="BB261" s="62"/>
      <c r="BC261" s="78"/>
      <c r="BD261" s="78"/>
      <c r="BE261" s="74" t="str">
        <f>IF(BA261&gt;60%,"YES","No")</f>
        <v>No</v>
      </c>
      <c r="BF261" s="62" t="str">
        <f>C261</f>
        <v/>
      </c>
      <c r="BG261" s="62" t="str">
        <f>I261</f>
        <v/>
      </c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</row>
    <row r="262" ht="76.5" customHeight="1">
      <c r="A262" s="62"/>
      <c r="B262" s="96" t="s">
        <v>531</v>
      </c>
      <c r="C262" s="97"/>
      <c r="D262" s="96"/>
      <c r="E262" s="98"/>
      <c r="F262" s="97"/>
      <c r="G262" s="97"/>
      <c r="H262" s="97"/>
      <c r="I262" s="97"/>
      <c r="J262" s="97"/>
      <c r="K262" s="99"/>
      <c r="L262" s="100"/>
      <c r="M262" s="101"/>
      <c r="N262" s="102"/>
      <c r="O262" s="102"/>
      <c r="P262" s="103" t="s">
        <v>532</v>
      </c>
      <c r="Q262" s="103" t="s">
        <v>533</v>
      </c>
      <c r="R262" s="103" t="s">
        <v>534</v>
      </c>
      <c r="S262" s="103" t="s">
        <v>535</v>
      </c>
      <c r="T262" s="104" t="s">
        <v>160</v>
      </c>
      <c r="U262" s="105"/>
      <c r="V262" s="106"/>
      <c r="W262" s="104" t="s">
        <v>160</v>
      </c>
      <c r="X262" s="108"/>
      <c r="Y262" s="104" t="s">
        <v>160</v>
      </c>
      <c r="Z262" s="100"/>
      <c r="AA262" s="100"/>
      <c r="AB262" s="100"/>
      <c r="AC262" s="103" t="s">
        <v>536</v>
      </c>
      <c r="AD262" s="103"/>
      <c r="AE262" s="104" t="s">
        <v>392</v>
      </c>
      <c r="AF262" s="104" t="s">
        <v>537</v>
      </c>
      <c r="AG262" s="101"/>
      <c r="AH262" s="108"/>
      <c r="AI262" s="103" t="s">
        <v>538</v>
      </c>
      <c r="AJ262" s="109"/>
      <c r="AK262" s="104" t="s">
        <v>160</v>
      </c>
      <c r="AL262" s="103"/>
      <c r="AM262" s="101"/>
      <c r="AN262" s="104" t="s">
        <v>539</v>
      </c>
      <c r="AO262" s="101"/>
      <c r="AP262" s="101"/>
      <c r="AQ262" s="151"/>
      <c r="AR262" s="109"/>
      <c r="AS262" s="101"/>
      <c r="AT262" s="101"/>
      <c r="AU262" s="111"/>
      <c r="AV262" s="111"/>
      <c r="AW262" s="111"/>
      <c r="AX262" s="111"/>
      <c r="AY262" s="104" t="s">
        <v>540</v>
      </c>
      <c r="AZ262" s="112"/>
      <c r="BA262" s="72"/>
      <c r="BB262" s="112"/>
      <c r="BC262" s="113"/>
      <c r="BD262" s="70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</row>
    <row r="263" ht="15.0" customHeight="1">
      <c r="A263" s="62"/>
      <c r="B263" s="79"/>
      <c r="C263" s="62"/>
      <c r="D263" s="62"/>
      <c r="E263" s="74"/>
      <c r="F263" s="62"/>
      <c r="G263" s="62"/>
      <c r="H263" s="62"/>
      <c r="I263" s="79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143"/>
      <c r="V263" s="143"/>
      <c r="W263" s="143"/>
      <c r="X263" s="62"/>
      <c r="Y263" s="64"/>
      <c r="Z263" s="143"/>
      <c r="AA263" s="143"/>
      <c r="AB263" s="62"/>
      <c r="AC263" s="64"/>
      <c r="AD263" s="64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72"/>
      <c r="BB263" s="62"/>
      <c r="BC263" s="78"/>
      <c r="BD263" s="78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</row>
    <row r="264" ht="15.0" hidden="1" customHeight="1">
      <c r="A264" s="79">
        <v>1.0</v>
      </c>
      <c r="B264" s="79">
        <v>141250.0</v>
      </c>
      <c r="C264" s="62" t="s">
        <v>541</v>
      </c>
      <c r="D264" s="62"/>
      <c r="E264" s="74"/>
      <c r="F264" s="62"/>
      <c r="G264" s="62"/>
      <c r="H264" s="62"/>
      <c r="I264" s="79" t="s">
        <v>498</v>
      </c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143"/>
      <c r="V264" s="143"/>
      <c r="W264" s="143"/>
      <c r="X264" s="62"/>
      <c r="Y264" s="62"/>
      <c r="Z264" s="143"/>
      <c r="AA264" s="143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72">
        <f t="shared" ref="BA264:BA266" si="82">AZ264/55</f>
        <v>0</v>
      </c>
      <c r="BB264" s="62"/>
      <c r="BC264" s="78"/>
      <c r="BD264" s="78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</row>
    <row r="265" ht="15.75" hidden="1" customHeight="1">
      <c r="A265" s="79">
        <v>2.0</v>
      </c>
      <c r="B265" s="79">
        <v>141251.0</v>
      </c>
      <c r="C265" s="79" t="s">
        <v>542</v>
      </c>
      <c r="D265" s="79"/>
      <c r="E265" s="68"/>
      <c r="F265" s="69"/>
      <c r="G265" s="69"/>
      <c r="H265" s="69"/>
      <c r="I265" s="69"/>
      <c r="J265" s="68"/>
      <c r="K265" s="136"/>
      <c r="L265" s="136"/>
      <c r="M265" s="136"/>
      <c r="N265" s="72"/>
      <c r="O265" s="72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150"/>
      <c r="AO265" s="150"/>
      <c r="AP265" s="150"/>
      <c r="AQ265" s="150"/>
      <c r="AR265" s="150"/>
      <c r="AS265" s="150"/>
      <c r="AT265" s="150"/>
      <c r="AU265" s="150"/>
      <c r="AV265" s="150"/>
      <c r="AW265" s="150"/>
      <c r="AX265" s="150"/>
      <c r="AY265" s="150"/>
      <c r="AZ265" s="64"/>
      <c r="BA265" s="72">
        <f t="shared" si="82"/>
        <v>0</v>
      </c>
      <c r="BB265" s="64"/>
      <c r="BC265" s="140"/>
      <c r="BD265" s="140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2"/>
      <c r="BV265" s="62"/>
      <c r="BW265" s="62"/>
      <c r="BX265" s="62"/>
      <c r="BY265" s="62"/>
      <c r="BZ265" s="62"/>
      <c r="CA265" s="62"/>
      <c r="CB265" s="62"/>
    </row>
    <row r="266" ht="15.75" hidden="1" customHeight="1">
      <c r="A266" s="79">
        <v>3.0</v>
      </c>
      <c r="B266" s="79">
        <v>141252.0</v>
      </c>
      <c r="C266" s="79" t="s">
        <v>543</v>
      </c>
      <c r="D266" s="79"/>
      <c r="E266" s="68"/>
      <c r="F266" s="69"/>
      <c r="G266" s="69"/>
      <c r="H266" s="69"/>
      <c r="I266" s="79" t="s">
        <v>498</v>
      </c>
      <c r="J266" s="68"/>
      <c r="K266" s="136"/>
      <c r="L266" s="136"/>
      <c r="M266" s="136"/>
      <c r="N266" s="72"/>
      <c r="O266" s="72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  <c r="AC266" s="150"/>
      <c r="AD266" s="150"/>
      <c r="AE266" s="150"/>
      <c r="AF266" s="150"/>
      <c r="AG266" s="150"/>
      <c r="AH266" s="150"/>
      <c r="AI266" s="150"/>
      <c r="AJ266" s="150"/>
      <c r="AK266" s="150"/>
      <c r="AL266" s="150"/>
      <c r="AM266" s="150"/>
      <c r="AN266" s="150"/>
      <c r="AO266" s="150"/>
      <c r="AP266" s="150"/>
      <c r="AQ266" s="150"/>
      <c r="AR266" s="150"/>
      <c r="AS266" s="150"/>
      <c r="AT266" s="150"/>
      <c r="AU266" s="150"/>
      <c r="AV266" s="150"/>
      <c r="AW266" s="150"/>
      <c r="AX266" s="150"/>
      <c r="AY266" s="150"/>
      <c r="AZ266" s="64"/>
      <c r="BA266" s="72">
        <f t="shared" si="82"/>
        <v>0</v>
      </c>
      <c r="BB266" s="64"/>
      <c r="BC266" s="140"/>
      <c r="BD266" s="140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</row>
    <row r="267" ht="15.75" hidden="1" customHeight="1">
      <c r="A267" s="79" t="str">
        <f>#REF!+1</f>
        <v>#REF!</v>
      </c>
      <c r="B267" s="79">
        <v>141228.0</v>
      </c>
      <c r="C267" s="79" t="s">
        <v>544</v>
      </c>
      <c r="D267" s="79"/>
      <c r="E267" s="68"/>
      <c r="F267" s="69"/>
      <c r="G267" s="69"/>
      <c r="H267" s="69"/>
      <c r="I267" s="79" t="s">
        <v>545</v>
      </c>
      <c r="J267" s="68"/>
      <c r="K267" s="136"/>
      <c r="L267" s="136"/>
      <c r="M267" s="136"/>
      <c r="N267" s="72"/>
      <c r="O267" s="72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131"/>
      <c r="AJ267" s="150"/>
      <c r="AK267" s="150"/>
      <c r="AL267" s="150"/>
      <c r="AM267" s="150"/>
      <c r="AN267" s="150"/>
      <c r="AO267" s="150"/>
      <c r="AP267" s="150"/>
      <c r="AQ267" s="150"/>
      <c r="AR267" s="150"/>
      <c r="AS267" s="150"/>
      <c r="AT267" s="150"/>
      <c r="AU267" s="150"/>
      <c r="AV267" s="150"/>
      <c r="AW267" s="150"/>
      <c r="AX267" s="150"/>
      <c r="AY267" s="150"/>
      <c r="AZ267" s="64"/>
      <c r="BA267" s="64"/>
      <c r="BB267" s="64"/>
      <c r="BC267" s="140"/>
      <c r="BD267" s="140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  <c r="BT267" s="62"/>
      <c r="BU267" s="62"/>
      <c r="BV267" s="62"/>
      <c r="BW267" s="62"/>
      <c r="BX267" s="62"/>
      <c r="BY267" s="62"/>
      <c r="BZ267" s="62"/>
      <c r="CA267" s="62"/>
      <c r="CB267" s="62"/>
    </row>
    <row r="268" ht="15.75" hidden="1" customHeight="1">
      <c r="A268" s="79" t="str">
        <f t="shared" ref="A268:A271" si="83">A267+1</f>
        <v>#REF!</v>
      </c>
      <c r="B268" s="79">
        <v>141521.0</v>
      </c>
      <c r="C268" s="79" t="s">
        <v>546</v>
      </c>
      <c r="D268" s="79"/>
      <c r="E268" s="68"/>
      <c r="F268" s="69"/>
      <c r="G268" s="69"/>
      <c r="H268" s="69"/>
      <c r="I268" s="79" t="s">
        <v>498</v>
      </c>
      <c r="J268" s="68"/>
      <c r="K268" s="136"/>
      <c r="L268" s="136"/>
      <c r="M268" s="136"/>
      <c r="N268" s="72"/>
      <c r="O268" s="72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  <c r="AC268" s="150"/>
      <c r="AD268" s="150"/>
      <c r="AE268" s="150"/>
      <c r="AF268" s="150"/>
      <c r="AG268" s="150"/>
      <c r="AH268" s="150"/>
      <c r="AI268" s="150"/>
      <c r="AJ268" s="150"/>
      <c r="AK268" s="150"/>
      <c r="AL268" s="150"/>
      <c r="AM268" s="150"/>
      <c r="AN268" s="150"/>
      <c r="AO268" s="150"/>
      <c r="AP268" s="150"/>
      <c r="AQ268" s="150"/>
      <c r="AR268" s="150"/>
      <c r="AS268" s="150"/>
      <c r="AT268" s="150"/>
      <c r="AU268" s="150"/>
      <c r="AV268" s="150"/>
      <c r="AW268" s="150"/>
      <c r="AX268" s="150"/>
      <c r="AY268" s="150"/>
      <c r="AZ268" s="64"/>
      <c r="BA268" s="64"/>
      <c r="BB268" s="64"/>
      <c r="BC268" s="140"/>
      <c r="BD268" s="140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2"/>
      <c r="BV268" s="62"/>
      <c r="BW268" s="62"/>
      <c r="BX268" s="62"/>
      <c r="BY268" s="62"/>
      <c r="BZ268" s="62"/>
      <c r="CA268" s="62"/>
      <c r="CB268" s="62"/>
    </row>
    <row r="269" ht="15.75" hidden="1" customHeight="1">
      <c r="A269" s="79" t="str">
        <f t="shared" si="83"/>
        <v>#REF!</v>
      </c>
      <c r="B269" s="79">
        <v>141521.004</v>
      </c>
      <c r="C269" s="79" t="s">
        <v>547</v>
      </c>
      <c r="D269" s="79"/>
      <c r="E269" s="68"/>
      <c r="F269" s="69"/>
      <c r="G269" s="69"/>
      <c r="H269" s="69"/>
      <c r="I269" s="79" t="s">
        <v>548</v>
      </c>
      <c r="J269" s="68"/>
      <c r="K269" s="136"/>
      <c r="L269" s="136"/>
      <c r="M269" s="136"/>
      <c r="N269" s="72"/>
      <c r="O269" s="72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150"/>
      <c r="AJ269" s="150"/>
      <c r="AK269" s="150"/>
      <c r="AL269" s="150"/>
      <c r="AM269" s="150"/>
      <c r="AN269" s="150"/>
      <c r="AO269" s="150"/>
      <c r="AP269" s="150"/>
      <c r="AQ269" s="150"/>
      <c r="AR269" s="150"/>
      <c r="AS269" s="150"/>
      <c r="AT269" s="150"/>
      <c r="AU269" s="150"/>
      <c r="AV269" s="150"/>
      <c r="AW269" s="150"/>
      <c r="AX269" s="150"/>
      <c r="AY269" s="150"/>
      <c r="AZ269" s="64"/>
      <c r="BA269" s="64"/>
      <c r="BB269" s="64"/>
      <c r="BC269" s="140"/>
      <c r="BD269" s="140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  <c r="BT269" s="62"/>
      <c r="BU269" s="62"/>
      <c r="BV269" s="62"/>
      <c r="BW269" s="62"/>
      <c r="BX269" s="62"/>
      <c r="BY269" s="62"/>
      <c r="BZ269" s="62"/>
      <c r="CA269" s="62"/>
      <c r="CB269" s="62"/>
    </row>
    <row r="270" ht="15.75" hidden="1" customHeight="1">
      <c r="A270" s="79" t="str">
        <f t="shared" si="83"/>
        <v>#REF!</v>
      </c>
      <c r="B270" s="79">
        <v>141521.001</v>
      </c>
      <c r="C270" s="79" t="s">
        <v>549</v>
      </c>
      <c r="D270" s="79"/>
      <c r="E270" s="68"/>
      <c r="F270" s="69"/>
      <c r="G270" s="69"/>
      <c r="H270" s="69"/>
      <c r="I270" s="79" t="s">
        <v>548</v>
      </c>
      <c r="J270" s="68"/>
      <c r="K270" s="136"/>
      <c r="L270" s="136"/>
      <c r="M270" s="136"/>
      <c r="N270" s="72"/>
      <c r="O270" s="72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  <c r="AC270" s="150"/>
      <c r="AD270" s="150"/>
      <c r="AE270" s="150"/>
      <c r="AF270" s="150"/>
      <c r="AG270" s="150"/>
      <c r="AH270" s="150"/>
      <c r="AI270" s="150"/>
      <c r="AJ270" s="150"/>
      <c r="AK270" s="150"/>
      <c r="AL270" s="150"/>
      <c r="AM270" s="150"/>
      <c r="AN270" s="150"/>
      <c r="AO270" s="150"/>
      <c r="AP270" s="150"/>
      <c r="AQ270" s="150"/>
      <c r="AR270" s="150"/>
      <c r="AS270" s="150"/>
      <c r="AT270" s="150"/>
      <c r="AU270" s="150"/>
      <c r="AV270" s="150"/>
      <c r="AW270" s="150"/>
      <c r="AX270" s="150"/>
      <c r="AY270" s="150"/>
      <c r="AZ270" s="64"/>
      <c r="BA270" s="64"/>
      <c r="BB270" s="64"/>
      <c r="BC270" s="140"/>
      <c r="BD270" s="140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2"/>
      <c r="BV270" s="62"/>
      <c r="BW270" s="62"/>
      <c r="BX270" s="62"/>
      <c r="BY270" s="62"/>
      <c r="BZ270" s="62"/>
      <c r="CA270" s="62"/>
      <c r="CB270" s="62"/>
    </row>
    <row r="271" ht="15.75" hidden="1" customHeight="1">
      <c r="A271" s="79" t="str">
        <f t="shared" si="83"/>
        <v>#REF!</v>
      </c>
      <c r="B271" s="79">
        <v>185273.0</v>
      </c>
      <c r="C271" s="79" t="s">
        <v>550</v>
      </c>
      <c r="D271" s="79"/>
      <c r="E271" s="74"/>
      <c r="F271" s="79"/>
      <c r="G271" s="79"/>
      <c r="H271" s="79"/>
      <c r="I271" s="79"/>
      <c r="J271" s="68"/>
      <c r="K271" s="162"/>
      <c r="L271" s="162"/>
      <c r="M271" s="162"/>
      <c r="N271" s="72"/>
      <c r="O271" s="72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150"/>
      <c r="AJ271" s="150"/>
      <c r="AK271" s="150"/>
      <c r="AL271" s="150"/>
      <c r="AM271" s="150"/>
      <c r="AN271" s="150"/>
      <c r="AO271" s="150"/>
      <c r="AP271" s="150"/>
      <c r="AQ271" s="150"/>
      <c r="AR271" s="150"/>
      <c r="AS271" s="150"/>
      <c r="AT271" s="150"/>
      <c r="AU271" s="150"/>
      <c r="AV271" s="150"/>
      <c r="AW271" s="150"/>
      <c r="AX271" s="150"/>
      <c r="AY271" s="150"/>
      <c r="AZ271" s="64"/>
      <c r="BA271" s="64"/>
      <c r="BB271" s="64"/>
      <c r="BC271" s="140"/>
      <c r="BD271" s="140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  <c r="BT271" s="62"/>
      <c r="BU271" s="62"/>
      <c r="BV271" s="62"/>
      <c r="BW271" s="62"/>
      <c r="BX271" s="62"/>
      <c r="BY271" s="62"/>
      <c r="BZ271" s="62"/>
      <c r="CA271" s="62"/>
      <c r="CB271" s="62"/>
    </row>
    <row r="272" ht="15.75" hidden="1" customHeight="1">
      <c r="A272" s="79"/>
      <c r="B272" s="79">
        <v>146118.0</v>
      </c>
      <c r="C272" s="79" t="s">
        <v>551</v>
      </c>
      <c r="D272" s="79"/>
      <c r="E272" s="74"/>
      <c r="F272" s="79"/>
      <c r="G272" s="79"/>
      <c r="H272" s="79"/>
      <c r="I272" s="79" t="s">
        <v>510</v>
      </c>
      <c r="J272" s="68"/>
      <c r="K272" s="162"/>
      <c r="L272" s="162"/>
      <c r="M272" s="162"/>
      <c r="N272" s="72"/>
      <c r="O272" s="72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0"/>
      <c r="AR272" s="150"/>
      <c r="AS272" s="150"/>
      <c r="AT272" s="150"/>
      <c r="AU272" s="150"/>
      <c r="AV272" s="150"/>
      <c r="AW272" s="150"/>
      <c r="AX272" s="150"/>
      <c r="AY272" s="150"/>
      <c r="AZ272" s="64"/>
      <c r="BA272" s="64"/>
      <c r="BB272" s="64"/>
      <c r="BC272" s="140"/>
      <c r="BD272" s="140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</row>
    <row r="273" ht="15.75" hidden="1" customHeight="1">
      <c r="A273" s="79"/>
      <c r="B273" s="79">
        <v>820990.002</v>
      </c>
      <c r="C273" s="79" t="s">
        <v>552</v>
      </c>
      <c r="D273" s="79"/>
      <c r="E273" s="74"/>
      <c r="F273" s="79"/>
      <c r="G273" s="79"/>
      <c r="H273" s="79"/>
      <c r="I273" s="79" t="s">
        <v>510</v>
      </c>
      <c r="J273" s="68"/>
      <c r="K273" s="162"/>
      <c r="L273" s="162"/>
      <c r="M273" s="162"/>
      <c r="N273" s="72"/>
      <c r="O273" s="72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0"/>
      <c r="AK273" s="150"/>
      <c r="AL273" s="150"/>
      <c r="AM273" s="150"/>
      <c r="AN273" s="150"/>
      <c r="AO273" s="150"/>
      <c r="AP273" s="150"/>
      <c r="AQ273" s="150"/>
      <c r="AR273" s="150"/>
      <c r="AS273" s="150"/>
      <c r="AT273" s="150"/>
      <c r="AU273" s="150"/>
      <c r="AV273" s="150"/>
      <c r="AW273" s="150"/>
      <c r="AX273" s="150"/>
      <c r="AY273" s="150"/>
      <c r="AZ273" s="64"/>
      <c r="BA273" s="64"/>
      <c r="BB273" s="64"/>
      <c r="BC273" s="140"/>
      <c r="BD273" s="140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2"/>
      <c r="BV273" s="62"/>
      <c r="BW273" s="62"/>
      <c r="BX273" s="62"/>
      <c r="BY273" s="62"/>
      <c r="BZ273" s="62"/>
      <c r="CA273" s="62"/>
      <c r="CB273" s="62"/>
    </row>
    <row r="274" ht="15.75" hidden="1" customHeight="1">
      <c r="A274" s="79"/>
      <c r="B274" s="79">
        <v>1415.0</v>
      </c>
      <c r="C274" s="79" t="s">
        <v>553</v>
      </c>
      <c r="D274" s="79"/>
      <c r="E274" s="74"/>
      <c r="F274" s="79"/>
      <c r="G274" s="79"/>
      <c r="H274" s="79"/>
      <c r="I274" s="79" t="s">
        <v>510</v>
      </c>
      <c r="J274" s="68"/>
      <c r="K274" s="162"/>
      <c r="L274" s="162"/>
      <c r="M274" s="162"/>
      <c r="N274" s="72"/>
      <c r="O274" s="72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0"/>
      <c r="AU274" s="150"/>
      <c r="AV274" s="150"/>
      <c r="AW274" s="150"/>
      <c r="AX274" s="150"/>
      <c r="AY274" s="150"/>
      <c r="AZ274" s="64"/>
      <c r="BA274" s="64"/>
      <c r="BB274" s="64"/>
      <c r="BC274" s="140"/>
      <c r="BD274" s="140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</row>
    <row r="275" ht="15.75" hidden="1" customHeight="1">
      <c r="A275" s="79"/>
      <c r="B275" s="79">
        <v>141209.0</v>
      </c>
      <c r="C275" s="79" t="s">
        <v>554</v>
      </c>
      <c r="D275" s="79"/>
      <c r="E275" s="74"/>
      <c r="F275" s="79"/>
      <c r="G275" s="79"/>
      <c r="H275" s="79"/>
      <c r="I275" s="79" t="s">
        <v>510</v>
      </c>
      <c r="J275" s="68"/>
      <c r="K275" s="162"/>
      <c r="L275" s="162"/>
      <c r="M275" s="162"/>
      <c r="N275" s="72"/>
      <c r="O275" s="72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  <c r="AQ275" s="150"/>
      <c r="AR275" s="150"/>
      <c r="AS275" s="150"/>
      <c r="AT275" s="150"/>
      <c r="AU275" s="150"/>
      <c r="AV275" s="150"/>
      <c r="AW275" s="150"/>
      <c r="AX275" s="150"/>
      <c r="AY275" s="150"/>
      <c r="AZ275" s="64"/>
      <c r="BA275" s="64"/>
      <c r="BB275" s="64"/>
      <c r="BC275" s="140"/>
      <c r="BD275" s="140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</row>
    <row r="276" ht="15.75" hidden="1" customHeight="1">
      <c r="A276" s="79"/>
      <c r="B276" s="79">
        <v>141230.0</v>
      </c>
      <c r="C276" s="79" t="s">
        <v>555</v>
      </c>
      <c r="D276" s="79"/>
      <c r="E276" s="74"/>
      <c r="F276" s="79"/>
      <c r="G276" s="79"/>
      <c r="H276" s="79"/>
      <c r="I276" s="79" t="s">
        <v>501</v>
      </c>
      <c r="J276" s="68"/>
      <c r="K276" s="136"/>
      <c r="L276" s="136"/>
      <c r="M276" s="136"/>
      <c r="N276" s="72"/>
      <c r="O276" s="72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150"/>
      <c r="AJ276" s="150"/>
      <c r="AK276" s="150"/>
      <c r="AL276" s="150"/>
      <c r="AM276" s="150"/>
      <c r="AN276" s="150"/>
      <c r="AO276" s="150"/>
      <c r="AP276" s="150"/>
      <c r="AQ276" s="150"/>
      <c r="AR276" s="150"/>
      <c r="AS276" s="150"/>
      <c r="AT276" s="150"/>
      <c r="AU276" s="150"/>
      <c r="AV276" s="150"/>
      <c r="AW276" s="150"/>
      <c r="AX276" s="150"/>
      <c r="AY276" s="150"/>
      <c r="AZ276" s="64"/>
      <c r="BA276" s="64"/>
      <c r="BB276" s="64"/>
      <c r="BC276" s="140"/>
      <c r="BD276" s="140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</row>
    <row r="277" ht="15.75" hidden="1" customHeight="1">
      <c r="A277" s="79"/>
      <c r="B277" s="79">
        <v>146108.001</v>
      </c>
      <c r="C277" s="79"/>
      <c r="D277" s="79"/>
      <c r="E277" s="68"/>
      <c r="F277" s="69"/>
      <c r="G277" s="69" t="s">
        <v>93</v>
      </c>
      <c r="H277" s="69"/>
      <c r="I277" s="79" t="s">
        <v>501</v>
      </c>
      <c r="J277" s="68"/>
      <c r="K277" s="136"/>
      <c r="L277" s="136"/>
      <c r="M277" s="136"/>
      <c r="N277" s="72"/>
      <c r="O277" s="72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64"/>
      <c r="BA277" s="64"/>
      <c r="BB277" s="64"/>
      <c r="BC277" s="140"/>
      <c r="BD277" s="140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</row>
    <row r="278" ht="15.75" customHeight="1">
      <c r="A278" s="79"/>
      <c r="B278" s="69"/>
      <c r="C278" s="79"/>
      <c r="D278" s="79"/>
      <c r="E278" s="68"/>
      <c r="F278" s="69"/>
      <c r="G278" s="69"/>
      <c r="H278" s="69"/>
      <c r="I278" s="69"/>
      <c r="J278" s="68"/>
      <c r="K278" s="136"/>
      <c r="L278" s="136"/>
      <c r="M278" s="136"/>
      <c r="N278" s="72"/>
      <c r="O278" s="72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0"/>
      <c r="AK278" s="150"/>
      <c r="AL278" s="150"/>
      <c r="AM278" s="150"/>
      <c r="AN278" s="150"/>
      <c r="AO278" s="150"/>
      <c r="AP278" s="150"/>
      <c r="AQ278" s="150"/>
      <c r="AR278" s="150"/>
      <c r="AS278" s="150"/>
      <c r="AT278" s="150"/>
      <c r="AU278" s="150"/>
      <c r="AV278" s="150"/>
      <c r="AW278" s="150"/>
      <c r="AX278" s="150"/>
      <c r="AY278" s="150"/>
      <c r="AZ278" s="64"/>
      <c r="BA278" s="64"/>
      <c r="BB278" s="64"/>
      <c r="BC278" s="140"/>
      <c r="BD278" s="140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</row>
    <row r="279" ht="15.75" customHeight="1">
      <c r="A279" s="79"/>
      <c r="B279" s="69"/>
      <c r="C279" s="79"/>
      <c r="D279" s="79"/>
      <c r="E279" s="68"/>
      <c r="F279" s="69"/>
      <c r="G279" s="69"/>
      <c r="H279" s="69"/>
      <c r="I279" s="69"/>
      <c r="J279" s="68"/>
      <c r="K279" s="136"/>
      <c r="L279" s="136"/>
      <c r="M279" s="136"/>
      <c r="N279" s="72"/>
      <c r="O279" s="72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50"/>
      <c r="AJ279" s="150"/>
      <c r="AK279" s="150"/>
      <c r="AL279" s="150"/>
      <c r="AM279" s="150"/>
      <c r="AN279" s="150"/>
      <c r="AO279" s="150"/>
      <c r="AP279" s="150"/>
      <c r="AQ279" s="150"/>
      <c r="AR279" s="150"/>
      <c r="AS279" s="150"/>
      <c r="AT279" s="150"/>
      <c r="AU279" s="150"/>
      <c r="AV279" s="150"/>
      <c r="AW279" s="150"/>
      <c r="AX279" s="150"/>
      <c r="AY279" s="150"/>
      <c r="AZ279" s="64"/>
      <c r="BA279" s="64"/>
      <c r="BB279" s="64"/>
      <c r="BC279" s="140"/>
      <c r="BD279" s="140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</row>
    <row r="280" ht="15.75" customHeight="1">
      <c r="A280" s="79"/>
      <c r="B280" s="69"/>
      <c r="C280" s="79"/>
      <c r="D280" s="79"/>
      <c r="E280" s="68"/>
      <c r="F280" s="69"/>
      <c r="G280" s="69"/>
      <c r="H280" s="69"/>
      <c r="I280" s="69"/>
      <c r="J280" s="68"/>
      <c r="K280" s="136"/>
      <c r="L280" s="136"/>
      <c r="M280" s="136"/>
      <c r="N280" s="72"/>
      <c r="O280" s="72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0"/>
      <c r="AK280" s="150"/>
      <c r="AL280" s="150"/>
      <c r="AM280" s="150"/>
      <c r="AN280" s="150"/>
      <c r="AO280" s="150"/>
      <c r="AP280" s="150"/>
      <c r="AQ280" s="150"/>
      <c r="AR280" s="150"/>
      <c r="AS280" s="150"/>
      <c r="AT280" s="150"/>
      <c r="AU280" s="150"/>
      <c r="AV280" s="150"/>
      <c r="AW280" s="150"/>
      <c r="AX280" s="150"/>
      <c r="AY280" s="150"/>
      <c r="AZ280" s="64"/>
      <c r="BA280" s="64"/>
      <c r="BB280" s="64"/>
      <c r="BC280" s="140"/>
      <c r="BD280" s="140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</row>
    <row r="281" ht="15.75" customHeight="1">
      <c r="A281" s="79"/>
      <c r="B281" s="69"/>
      <c r="C281" s="79"/>
      <c r="D281" s="79"/>
      <c r="E281" s="68"/>
      <c r="F281" s="69"/>
      <c r="G281" s="69"/>
      <c r="H281" s="69"/>
      <c r="I281" s="69"/>
      <c r="J281" s="68"/>
      <c r="K281" s="136"/>
      <c r="L281" s="136"/>
      <c r="M281" s="136"/>
      <c r="N281" s="72"/>
      <c r="O281" s="72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0"/>
      <c r="AK281" s="150"/>
      <c r="AL281" s="150"/>
      <c r="AM281" s="150"/>
      <c r="AN281" s="150"/>
      <c r="AO281" s="150"/>
      <c r="AP281" s="150"/>
      <c r="AQ281" s="150"/>
      <c r="AR281" s="150"/>
      <c r="AS281" s="150"/>
      <c r="AT281" s="150"/>
      <c r="AU281" s="150"/>
      <c r="AV281" s="150"/>
      <c r="AW281" s="150"/>
      <c r="AX281" s="150"/>
      <c r="AY281" s="150"/>
      <c r="AZ281" s="64"/>
      <c r="BA281" s="64"/>
      <c r="BB281" s="64"/>
      <c r="BC281" s="140"/>
      <c r="BD281" s="140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</row>
    <row r="282" ht="15.75" customHeight="1">
      <c r="A282" s="79"/>
      <c r="B282" s="69"/>
      <c r="C282" s="79"/>
      <c r="D282" s="79"/>
      <c r="E282" s="68"/>
      <c r="F282" s="69"/>
      <c r="G282" s="69"/>
      <c r="H282" s="69"/>
      <c r="I282" s="69"/>
      <c r="J282" s="68"/>
      <c r="K282" s="136"/>
      <c r="L282" s="136"/>
      <c r="M282" s="136"/>
      <c r="N282" s="72"/>
      <c r="O282" s="72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0"/>
      <c r="AK282" s="150"/>
      <c r="AL282" s="150"/>
      <c r="AM282" s="150"/>
      <c r="AN282" s="150"/>
      <c r="AO282" s="150"/>
      <c r="AP282" s="150"/>
      <c r="AQ282" s="150"/>
      <c r="AR282" s="150"/>
      <c r="AS282" s="150"/>
      <c r="AT282" s="150"/>
      <c r="AU282" s="150"/>
      <c r="AV282" s="150"/>
      <c r="AW282" s="150"/>
      <c r="AX282" s="150"/>
      <c r="AY282" s="150"/>
      <c r="AZ282" s="64"/>
      <c r="BA282" s="64"/>
      <c r="BB282" s="64"/>
      <c r="BC282" s="140"/>
      <c r="BD282" s="140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</row>
    <row r="283" ht="15.75" customHeight="1">
      <c r="A283" s="79"/>
      <c r="B283" s="69"/>
      <c r="C283" s="79"/>
      <c r="D283" s="79"/>
      <c r="E283" s="68"/>
      <c r="F283" s="69"/>
      <c r="G283" s="69"/>
      <c r="H283" s="69"/>
      <c r="I283" s="69"/>
      <c r="J283" s="68"/>
      <c r="K283" s="136"/>
      <c r="L283" s="136"/>
      <c r="M283" s="136"/>
      <c r="N283" s="72"/>
      <c r="O283" s="72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0"/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0"/>
      <c r="AU283" s="150"/>
      <c r="AV283" s="150"/>
      <c r="AW283" s="150"/>
      <c r="AX283" s="150"/>
      <c r="AY283" s="150"/>
      <c r="AZ283" s="64"/>
      <c r="BA283" s="64"/>
      <c r="BB283" s="64"/>
      <c r="BC283" s="140"/>
      <c r="BD283" s="140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</row>
    <row r="284" ht="15.75" customHeight="1">
      <c r="A284" s="79"/>
      <c r="B284" s="69"/>
      <c r="C284" s="79"/>
      <c r="D284" s="79"/>
      <c r="E284" s="68"/>
      <c r="F284" s="69"/>
      <c r="G284" s="69"/>
      <c r="H284" s="69"/>
      <c r="I284" s="69"/>
      <c r="J284" s="68"/>
      <c r="K284" s="136"/>
      <c r="L284" s="136"/>
      <c r="M284" s="136"/>
      <c r="N284" s="72"/>
      <c r="O284" s="72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150"/>
      <c r="AJ284" s="150"/>
      <c r="AK284" s="150"/>
      <c r="AL284" s="150"/>
      <c r="AM284" s="150"/>
      <c r="AN284" s="150"/>
      <c r="AO284" s="150"/>
      <c r="AP284" s="150"/>
      <c r="AQ284" s="150"/>
      <c r="AR284" s="150"/>
      <c r="AS284" s="150"/>
      <c r="AT284" s="150"/>
      <c r="AU284" s="150"/>
      <c r="AV284" s="150"/>
      <c r="AW284" s="150"/>
      <c r="AX284" s="150"/>
      <c r="AY284" s="150"/>
      <c r="AZ284" s="64"/>
      <c r="BA284" s="64"/>
      <c r="BB284" s="64"/>
      <c r="BC284" s="140"/>
      <c r="BD284" s="140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</row>
    <row r="285" ht="15.75" customHeight="1">
      <c r="A285" s="79"/>
      <c r="B285" s="69"/>
      <c r="C285" s="79"/>
      <c r="D285" s="79"/>
      <c r="E285" s="68"/>
      <c r="F285" s="69"/>
      <c r="G285" s="69"/>
      <c r="H285" s="69"/>
      <c r="I285" s="69"/>
      <c r="J285" s="68"/>
      <c r="K285" s="136"/>
      <c r="L285" s="136"/>
      <c r="M285" s="136"/>
      <c r="N285" s="72"/>
      <c r="O285" s="72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150"/>
      <c r="AJ285" s="150"/>
      <c r="AK285" s="150"/>
      <c r="AL285" s="150"/>
      <c r="AM285" s="150"/>
      <c r="AN285" s="150"/>
      <c r="AO285" s="150"/>
      <c r="AP285" s="150"/>
      <c r="AQ285" s="150"/>
      <c r="AR285" s="150"/>
      <c r="AS285" s="150"/>
      <c r="AT285" s="150"/>
      <c r="AU285" s="150"/>
      <c r="AV285" s="150"/>
      <c r="AW285" s="150"/>
      <c r="AX285" s="150"/>
      <c r="AY285" s="150"/>
      <c r="AZ285" s="64"/>
      <c r="BA285" s="64"/>
      <c r="BB285" s="64"/>
      <c r="BC285" s="140"/>
      <c r="BD285" s="140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</row>
    <row r="286" ht="15.75" customHeight="1">
      <c r="A286" s="79"/>
      <c r="B286" s="69"/>
      <c r="C286" s="79"/>
      <c r="D286" s="79"/>
      <c r="E286" s="68"/>
      <c r="F286" s="69"/>
      <c r="G286" s="69"/>
      <c r="H286" s="69"/>
      <c r="I286" s="69"/>
      <c r="J286" s="68"/>
      <c r="K286" s="136"/>
      <c r="L286" s="136"/>
      <c r="M286" s="136"/>
      <c r="N286" s="72"/>
      <c r="O286" s="72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0"/>
      <c r="AK286" s="150"/>
      <c r="AL286" s="150"/>
      <c r="AM286" s="150"/>
      <c r="AN286" s="150"/>
      <c r="AO286" s="150"/>
      <c r="AP286" s="150"/>
      <c r="AQ286" s="150"/>
      <c r="AR286" s="150"/>
      <c r="AS286" s="150"/>
      <c r="AT286" s="150"/>
      <c r="AU286" s="150"/>
      <c r="AV286" s="150"/>
      <c r="AW286" s="150"/>
      <c r="AX286" s="150"/>
      <c r="AY286" s="150"/>
      <c r="AZ286" s="64"/>
      <c r="BA286" s="64"/>
      <c r="BB286" s="64"/>
      <c r="BC286" s="140"/>
      <c r="BD286" s="140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</row>
    <row r="287" ht="15.75" customHeight="1">
      <c r="A287" s="79"/>
      <c r="B287" s="69"/>
      <c r="C287" s="79"/>
      <c r="D287" s="79"/>
      <c r="E287" s="68"/>
      <c r="F287" s="69"/>
      <c r="G287" s="69"/>
      <c r="H287" s="69"/>
      <c r="I287" s="69"/>
      <c r="J287" s="68"/>
      <c r="K287" s="136"/>
      <c r="L287" s="136"/>
      <c r="M287" s="136"/>
      <c r="N287" s="72"/>
      <c r="O287" s="72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150"/>
      <c r="AJ287" s="150"/>
      <c r="AK287" s="150"/>
      <c r="AL287" s="150"/>
      <c r="AM287" s="150"/>
      <c r="AN287" s="150"/>
      <c r="AO287" s="150"/>
      <c r="AP287" s="150"/>
      <c r="AQ287" s="150"/>
      <c r="AR287" s="150"/>
      <c r="AS287" s="150"/>
      <c r="AT287" s="150"/>
      <c r="AU287" s="150"/>
      <c r="AV287" s="150"/>
      <c r="AW287" s="150"/>
      <c r="AX287" s="150"/>
      <c r="AY287" s="150"/>
      <c r="AZ287" s="64"/>
      <c r="BA287" s="64"/>
      <c r="BB287" s="64"/>
      <c r="BC287" s="140"/>
      <c r="BD287" s="140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/>
      <c r="BX287" s="62"/>
      <c r="BY287" s="62"/>
      <c r="BZ287" s="62"/>
      <c r="CA287" s="62"/>
      <c r="CB287" s="62"/>
    </row>
    <row r="288" ht="15.75" customHeight="1">
      <c r="A288" s="79"/>
      <c r="B288" s="69"/>
      <c r="C288" s="79"/>
      <c r="D288" s="79"/>
      <c r="E288" s="68"/>
      <c r="F288" s="69"/>
      <c r="G288" s="69"/>
      <c r="H288" s="69"/>
      <c r="I288" s="69"/>
      <c r="J288" s="68"/>
      <c r="K288" s="136"/>
      <c r="L288" s="136"/>
      <c r="M288" s="136"/>
      <c r="N288" s="72"/>
      <c r="O288" s="72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150"/>
      <c r="AJ288" s="150"/>
      <c r="AK288" s="150"/>
      <c r="AL288" s="150"/>
      <c r="AM288" s="150"/>
      <c r="AN288" s="150"/>
      <c r="AO288" s="150"/>
      <c r="AP288" s="150"/>
      <c r="AQ288" s="150"/>
      <c r="AR288" s="150"/>
      <c r="AS288" s="150"/>
      <c r="AT288" s="150"/>
      <c r="AU288" s="150"/>
      <c r="AV288" s="150"/>
      <c r="AW288" s="150"/>
      <c r="AX288" s="150"/>
      <c r="AY288" s="150"/>
      <c r="AZ288" s="64"/>
      <c r="BA288" s="64"/>
      <c r="BB288" s="64"/>
      <c r="BC288" s="140"/>
      <c r="BD288" s="140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</row>
    <row r="289" ht="15.75" customHeight="1">
      <c r="A289" s="79"/>
      <c r="B289" s="69"/>
      <c r="C289" s="79"/>
      <c r="D289" s="79"/>
      <c r="E289" s="68"/>
      <c r="F289" s="69"/>
      <c r="G289" s="69"/>
      <c r="H289" s="69"/>
      <c r="I289" s="69"/>
      <c r="J289" s="68"/>
      <c r="K289" s="136"/>
      <c r="L289" s="136"/>
      <c r="M289" s="136"/>
      <c r="N289" s="72"/>
      <c r="O289" s="72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150"/>
      <c r="AJ289" s="150"/>
      <c r="AK289" s="150"/>
      <c r="AL289" s="150"/>
      <c r="AM289" s="150"/>
      <c r="AN289" s="150"/>
      <c r="AO289" s="150"/>
      <c r="AP289" s="150"/>
      <c r="AQ289" s="150"/>
      <c r="AR289" s="150"/>
      <c r="AS289" s="150"/>
      <c r="AT289" s="150"/>
      <c r="AU289" s="150"/>
      <c r="AV289" s="150"/>
      <c r="AW289" s="150"/>
      <c r="AX289" s="150"/>
      <c r="AY289" s="150"/>
      <c r="AZ289" s="64"/>
      <c r="BA289" s="64"/>
      <c r="BB289" s="64"/>
      <c r="BC289" s="140"/>
      <c r="BD289" s="140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/>
      <c r="BX289" s="62"/>
      <c r="BY289" s="62"/>
      <c r="BZ289" s="62"/>
      <c r="CA289" s="62"/>
      <c r="CB289" s="62"/>
    </row>
    <row r="290" ht="15.75" customHeight="1">
      <c r="A290" s="79"/>
      <c r="B290" s="69"/>
      <c r="C290" s="79"/>
      <c r="D290" s="79"/>
      <c r="E290" s="68"/>
      <c r="F290" s="69"/>
      <c r="G290" s="69"/>
      <c r="H290" s="69"/>
      <c r="I290" s="69"/>
      <c r="J290" s="68"/>
      <c r="K290" s="136"/>
      <c r="L290" s="136"/>
      <c r="M290" s="136"/>
      <c r="N290" s="72"/>
      <c r="O290" s="72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150"/>
      <c r="AJ290" s="150"/>
      <c r="AK290" s="150"/>
      <c r="AL290" s="150"/>
      <c r="AM290" s="150"/>
      <c r="AN290" s="150"/>
      <c r="AO290" s="150"/>
      <c r="AP290" s="150"/>
      <c r="AQ290" s="150"/>
      <c r="AR290" s="150"/>
      <c r="AS290" s="150"/>
      <c r="AT290" s="150"/>
      <c r="AU290" s="150"/>
      <c r="AV290" s="150"/>
      <c r="AW290" s="150"/>
      <c r="AX290" s="150"/>
      <c r="AY290" s="150"/>
      <c r="AZ290" s="64"/>
      <c r="BA290" s="64"/>
      <c r="BB290" s="64"/>
      <c r="BC290" s="140"/>
      <c r="BD290" s="140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</row>
    <row r="291" ht="15.75" customHeight="1">
      <c r="A291" s="79"/>
      <c r="B291" s="69"/>
      <c r="C291" s="79"/>
      <c r="D291" s="79"/>
      <c r="E291" s="68"/>
      <c r="F291" s="69"/>
      <c r="G291" s="69"/>
      <c r="H291" s="69"/>
      <c r="I291" s="69"/>
      <c r="J291" s="68"/>
      <c r="K291" s="136"/>
      <c r="L291" s="136"/>
      <c r="M291" s="136"/>
      <c r="N291" s="72"/>
      <c r="O291" s="72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150"/>
      <c r="AJ291" s="150"/>
      <c r="AK291" s="150"/>
      <c r="AL291" s="150"/>
      <c r="AM291" s="150"/>
      <c r="AN291" s="150"/>
      <c r="AO291" s="150"/>
      <c r="AP291" s="150"/>
      <c r="AQ291" s="150"/>
      <c r="AR291" s="150"/>
      <c r="AS291" s="150"/>
      <c r="AT291" s="150"/>
      <c r="AU291" s="150"/>
      <c r="AV291" s="150"/>
      <c r="AW291" s="150"/>
      <c r="AX291" s="150"/>
      <c r="AY291" s="150"/>
      <c r="AZ291" s="64"/>
      <c r="BA291" s="64"/>
      <c r="BB291" s="64"/>
      <c r="BC291" s="140"/>
      <c r="BD291" s="140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/>
      <c r="BX291" s="62"/>
      <c r="BY291" s="62"/>
      <c r="BZ291" s="62"/>
      <c r="CA291" s="62"/>
      <c r="CB291" s="62"/>
    </row>
    <row r="292" ht="15.75" customHeight="1">
      <c r="A292" s="79"/>
      <c r="B292" s="69"/>
      <c r="C292" s="79"/>
      <c r="D292" s="79"/>
      <c r="E292" s="68"/>
      <c r="F292" s="69"/>
      <c r="G292" s="69"/>
      <c r="H292" s="69"/>
      <c r="I292" s="69"/>
      <c r="J292" s="68"/>
      <c r="K292" s="136"/>
      <c r="L292" s="136"/>
      <c r="M292" s="136"/>
      <c r="N292" s="72"/>
      <c r="O292" s="72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64"/>
      <c r="BA292" s="64"/>
      <c r="BB292" s="64"/>
      <c r="BC292" s="140"/>
      <c r="BD292" s="140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</row>
    <row r="293" ht="15.75" customHeight="1">
      <c r="A293" s="79"/>
      <c r="B293" s="69"/>
      <c r="C293" s="79"/>
      <c r="D293" s="79"/>
      <c r="E293" s="68"/>
      <c r="F293" s="69"/>
      <c r="G293" s="69"/>
      <c r="H293" s="69"/>
      <c r="I293" s="69"/>
      <c r="J293" s="68"/>
      <c r="K293" s="136"/>
      <c r="L293" s="136"/>
      <c r="M293" s="136"/>
      <c r="N293" s="72"/>
      <c r="O293" s="72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0"/>
      <c r="AK293" s="150"/>
      <c r="AL293" s="150"/>
      <c r="AM293" s="150"/>
      <c r="AN293" s="150"/>
      <c r="AO293" s="150"/>
      <c r="AP293" s="150"/>
      <c r="AQ293" s="150"/>
      <c r="AR293" s="150"/>
      <c r="AS293" s="150"/>
      <c r="AT293" s="150"/>
      <c r="AU293" s="150"/>
      <c r="AV293" s="150"/>
      <c r="AW293" s="150"/>
      <c r="AX293" s="150"/>
      <c r="AY293" s="150"/>
      <c r="AZ293" s="64"/>
      <c r="BA293" s="64"/>
      <c r="BB293" s="64"/>
      <c r="BC293" s="140"/>
      <c r="BD293" s="140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2"/>
      <c r="BV293" s="62"/>
      <c r="BW293" s="62"/>
      <c r="BX293" s="62"/>
      <c r="BY293" s="62"/>
      <c r="BZ293" s="62"/>
      <c r="CA293" s="62"/>
      <c r="CB293" s="62"/>
    </row>
    <row r="294" ht="15.75" customHeight="1">
      <c r="A294" s="79"/>
      <c r="B294" s="69"/>
      <c r="C294" s="79"/>
      <c r="D294" s="79"/>
      <c r="E294" s="68"/>
      <c r="F294" s="69"/>
      <c r="G294" s="69"/>
      <c r="H294" s="69"/>
      <c r="I294" s="69"/>
      <c r="J294" s="68"/>
      <c r="K294" s="136"/>
      <c r="L294" s="136"/>
      <c r="M294" s="136"/>
      <c r="N294" s="72"/>
      <c r="O294" s="72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0"/>
      <c r="AK294" s="150"/>
      <c r="AL294" s="150"/>
      <c r="AM294" s="150"/>
      <c r="AN294" s="150"/>
      <c r="AO294" s="150"/>
      <c r="AP294" s="150"/>
      <c r="AQ294" s="150"/>
      <c r="AR294" s="150"/>
      <c r="AS294" s="150"/>
      <c r="AT294" s="150"/>
      <c r="AU294" s="150"/>
      <c r="AV294" s="150"/>
      <c r="AW294" s="150"/>
      <c r="AX294" s="150"/>
      <c r="AY294" s="150"/>
      <c r="AZ294" s="64"/>
      <c r="BA294" s="64"/>
      <c r="BB294" s="64"/>
      <c r="BC294" s="140"/>
      <c r="BD294" s="140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</row>
    <row r="295" ht="15.75" customHeight="1">
      <c r="A295" s="79"/>
      <c r="B295" s="69"/>
      <c r="C295" s="79"/>
      <c r="D295" s="79"/>
      <c r="E295" s="68"/>
      <c r="F295" s="69"/>
      <c r="G295" s="69"/>
      <c r="H295" s="69"/>
      <c r="I295" s="69"/>
      <c r="J295" s="68"/>
      <c r="K295" s="136"/>
      <c r="L295" s="136"/>
      <c r="M295" s="136"/>
      <c r="N295" s="72"/>
      <c r="O295" s="72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150"/>
      <c r="AJ295" s="150"/>
      <c r="AK295" s="150"/>
      <c r="AL295" s="150"/>
      <c r="AM295" s="150"/>
      <c r="AN295" s="150"/>
      <c r="AO295" s="150"/>
      <c r="AP295" s="150"/>
      <c r="AQ295" s="150"/>
      <c r="AR295" s="150"/>
      <c r="AS295" s="150"/>
      <c r="AT295" s="150"/>
      <c r="AU295" s="150"/>
      <c r="AV295" s="150"/>
      <c r="AW295" s="150"/>
      <c r="AX295" s="150"/>
      <c r="AY295" s="150"/>
      <c r="AZ295" s="64"/>
      <c r="BA295" s="64"/>
      <c r="BB295" s="64"/>
      <c r="BC295" s="140"/>
      <c r="BD295" s="140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</row>
    <row r="296" ht="15.75" customHeight="1">
      <c r="A296" s="79"/>
      <c r="B296" s="69"/>
      <c r="C296" s="79"/>
      <c r="D296" s="79"/>
      <c r="E296" s="68"/>
      <c r="F296" s="69"/>
      <c r="G296" s="69"/>
      <c r="H296" s="69"/>
      <c r="I296" s="69"/>
      <c r="J296" s="68"/>
      <c r="K296" s="136"/>
      <c r="L296" s="136"/>
      <c r="M296" s="136"/>
      <c r="N296" s="72"/>
      <c r="O296" s="72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150"/>
      <c r="AJ296" s="150"/>
      <c r="AK296" s="150"/>
      <c r="AL296" s="150"/>
      <c r="AM296" s="150"/>
      <c r="AN296" s="150"/>
      <c r="AO296" s="150"/>
      <c r="AP296" s="150"/>
      <c r="AQ296" s="150"/>
      <c r="AR296" s="150"/>
      <c r="AS296" s="150"/>
      <c r="AT296" s="150"/>
      <c r="AU296" s="150"/>
      <c r="AV296" s="150"/>
      <c r="AW296" s="150"/>
      <c r="AX296" s="150"/>
      <c r="AY296" s="150"/>
      <c r="AZ296" s="64"/>
      <c r="BA296" s="64"/>
      <c r="BB296" s="64"/>
      <c r="BC296" s="140"/>
      <c r="BD296" s="140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</row>
    <row r="297" ht="15.75" customHeight="1">
      <c r="A297" s="79"/>
      <c r="B297" s="69"/>
      <c r="C297" s="79"/>
      <c r="D297" s="79"/>
      <c r="E297" s="68"/>
      <c r="F297" s="69"/>
      <c r="G297" s="69"/>
      <c r="H297" s="69"/>
      <c r="I297" s="69"/>
      <c r="J297" s="68"/>
      <c r="K297" s="136"/>
      <c r="L297" s="136"/>
      <c r="M297" s="136"/>
      <c r="N297" s="72"/>
      <c r="O297" s="72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0"/>
      <c r="AK297" s="150"/>
      <c r="AL297" s="150"/>
      <c r="AM297" s="150"/>
      <c r="AN297" s="150"/>
      <c r="AO297" s="150"/>
      <c r="AP297" s="150"/>
      <c r="AQ297" s="150"/>
      <c r="AR297" s="150"/>
      <c r="AS297" s="150"/>
      <c r="AT297" s="150"/>
      <c r="AU297" s="150"/>
      <c r="AV297" s="150"/>
      <c r="AW297" s="150"/>
      <c r="AX297" s="150"/>
      <c r="AY297" s="150"/>
      <c r="AZ297" s="64"/>
      <c r="BA297" s="64"/>
      <c r="BB297" s="64"/>
      <c r="BC297" s="140"/>
      <c r="BD297" s="140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</row>
    <row r="298" ht="15.75" customHeight="1">
      <c r="A298" s="79"/>
      <c r="B298" s="69"/>
      <c r="C298" s="79"/>
      <c r="D298" s="79"/>
      <c r="E298" s="68"/>
      <c r="F298" s="69"/>
      <c r="G298" s="69"/>
      <c r="H298" s="69"/>
      <c r="I298" s="69"/>
      <c r="J298" s="68"/>
      <c r="K298" s="136"/>
      <c r="L298" s="136"/>
      <c r="M298" s="136"/>
      <c r="N298" s="72"/>
      <c r="O298" s="72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50"/>
      <c r="AE298" s="150"/>
      <c r="AF298" s="150"/>
      <c r="AG298" s="150"/>
      <c r="AH298" s="150"/>
      <c r="AI298" s="150"/>
      <c r="AJ298" s="150"/>
      <c r="AK298" s="150"/>
      <c r="AL298" s="150"/>
      <c r="AM298" s="150"/>
      <c r="AN298" s="150"/>
      <c r="AO298" s="150"/>
      <c r="AP298" s="150"/>
      <c r="AQ298" s="150"/>
      <c r="AR298" s="150"/>
      <c r="AS298" s="150"/>
      <c r="AT298" s="150"/>
      <c r="AU298" s="150"/>
      <c r="AV298" s="150"/>
      <c r="AW298" s="150"/>
      <c r="AX298" s="150"/>
      <c r="AY298" s="150"/>
      <c r="AZ298" s="64"/>
      <c r="BA298" s="64"/>
      <c r="BB298" s="64"/>
      <c r="BC298" s="140"/>
      <c r="BD298" s="140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</row>
    <row r="299" ht="15.75" customHeight="1">
      <c r="A299" s="79"/>
      <c r="B299" s="69"/>
      <c r="C299" s="79"/>
      <c r="D299" s="79"/>
      <c r="E299" s="68"/>
      <c r="F299" s="69"/>
      <c r="G299" s="69"/>
      <c r="H299" s="69"/>
      <c r="I299" s="69"/>
      <c r="J299" s="68"/>
      <c r="K299" s="136"/>
      <c r="L299" s="136"/>
      <c r="M299" s="136"/>
      <c r="N299" s="72"/>
      <c r="O299" s="72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150"/>
      <c r="AJ299" s="150"/>
      <c r="AK299" s="150"/>
      <c r="AL299" s="150"/>
      <c r="AM299" s="150"/>
      <c r="AN299" s="150"/>
      <c r="AO299" s="150"/>
      <c r="AP299" s="150"/>
      <c r="AQ299" s="150"/>
      <c r="AR299" s="150"/>
      <c r="AS299" s="150"/>
      <c r="AT299" s="150"/>
      <c r="AU299" s="150"/>
      <c r="AV299" s="150"/>
      <c r="AW299" s="150"/>
      <c r="AX299" s="150"/>
      <c r="AY299" s="150"/>
      <c r="AZ299" s="64"/>
      <c r="BA299" s="64"/>
      <c r="BB299" s="64"/>
      <c r="BC299" s="140"/>
      <c r="BD299" s="140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</row>
    <row r="300" ht="15.75" customHeight="1">
      <c r="A300" s="79"/>
      <c r="B300" s="69"/>
      <c r="C300" s="79"/>
      <c r="D300" s="79"/>
      <c r="E300" s="68"/>
      <c r="F300" s="69"/>
      <c r="G300" s="69"/>
      <c r="H300" s="69"/>
      <c r="I300" s="69"/>
      <c r="J300" s="68"/>
      <c r="K300" s="136"/>
      <c r="L300" s="136"/>
      <c r="M300" s="136"/>
      <c r="N300" s="72"/>
      <c r="O300" s="72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150"/>
      <c r="AJ300" s="150"/>
      <c r="AK300" s="150"/>
      <c r="AL300" s="150"/>
      <c r="AM300" s="150"/>
      <c r="AN300" s="150"/>
      <c r="AO300" s="150"/>
      <c r="AP300" s="150"/>
      <c r="AQ300" s="150"/>
      <c r="AR300" s="150"/>
      <c r="AS300" s="150"/>
      <c r="AT300" s="150"/>
      <c r="AU300" s="150"/>
      <c r="AV300" s="150"/>
      <c r="AW300" s="150"/>
      <c r="AX300" s="150"/>
      <c r="AY300" s="150"/>
      <c r="AZ300" s="64"/>
      <c r="BA300" s="64"/>
      <c r="BB300" s="64"/>
      <c r="BC300" s="140"/>
      <c r="BD300" s="140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</row>
    <row r="301" ht="15.75" customHeight="1">
      <c r="A301" s="79"/>
      <c r="B301" s="69"/>
      <c r="C301" s="79"/>
      <c r="D301" s="79"/>
      <c r="E301" s="68"/>
      <c r="F301" s="69"/>
      <c r="G301" s="69"/>
      <c r="H301" s="69"/>
      <c r="I301" s="69"/>
      <c r="J301" s="68"/>
      <c r="K301" s="136"/>
      <c r="L301" s="136"/>
      <c r="M301" s="136"/>
      <c r="N301" s="72"/>
      <c r="O301" s="72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150"/>
      <c r="AJ301" s="150"/>
      <c r="AK301" s="150"/>
      <c r="AL301" s="150"/>
      <c r="AM301" s="150"/>
      <c r="AN301" s="150"/>
      <c r="AO301" s="150"/>
      <c r="AP301" s="150"/>
      <c r="AQ301" s="150"/>
      <c r="AR301" s="150"/>
      <c r="AS301" s="150"/>
      <c r="AT301" s="150"/>
      <c r="AU301" s="150"/>
      <c r="AV301" s="150"/>
      <c r="AW301" s="150"/>
      <c r="AX301" s="150"/>
      <c r="AY301" s="150"/>
      <c r="AZ301" s="64"/>
      <c r="BA301" s="64"/>
      <c r="BB301" s="64"/>
      <c r="BC301" s="140"/>
      <c r="BD301" s="140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2"/>
      <c r="BV301" s="62"/>
      <c r="BW301" s="62"/>
      <c r="BX301" s="62"/>
      <c r="BY301" s="62"/>
      <c r="BZ301" s="62"/>
      <c r="CA301" s="62"/>
      <c r="CB301" s="62"/>
    </row>
    <row r="302" ht="15.75" customHeight="1">
      <c r="A302" s="79"/>
      <c r="B302" s="69"/>
      <c r="C302" s="79"/>
      <c r="D302" s="79"/>
      <c r="E302" s="68"/>
      <c r="F302" s="69"/>
      <c r="G302" s="69"/>
      <c r="H302" s="69"/>
      <c r="I302" s="69"/>
      <c r="J302" s="68"/>
      <c r="K302" s="136"/>
      <c r="L302" s="136"/>
      <c r="M302" s="136"/>
      <c r="N302" s="72"/>
      <c r="O302" s="72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  <c r="AC302" s="150"/>
      <c r="AD302" s="150"/>
      <c r="AE302" s="150"/>
      <c r="AF302" s="150"/>
      <c r="AG302" s="150"/>
      <c r="AH302" s="150"/>
      <c r="AI302" s="150"/>
      <c r="AJ302" s="150"/>
      <c r="AK302" s="150"/>
      <c r="AL302" s="150"/>
      <c r="AM302" s="150"/>
      <c r="AN302" s="150"/>
      <c r="AO302" s="150"/>
      <c r="AP302" s="150"/>
      <c r="AQ302" s="150"/>
      <c r="AR302" s="150"/>
      <c r="AS302" s="150"/>
      <c r="AT302" s="150"/>
      <c r="AU302" s="150"/>
      <c r="AV302" s="150"/>
      <c r="AW302" s="150"/>
      <c r="AX302" s="150"/>
      <c r="AY302" s="150"/>
      <c r="AZ302" s="64"/>
      <c r="BA302" s="64"/>
      <c r="BB302" s="64"/>
      <c r="BC302" s="140"/>
      <c r="BD302" s="140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</row>
    <row r="303" ht="15.75" customHeight="1">
      <c r="A303" s="79"/>
      <c r="B303" s="69"/>
      <c r="C303" s="79"/>
      <c r="D303" s="79"/>
      <c r="E303" s="68"/>
      <c r="F303" s="69"/>
      <c r="G303" s="69"/>
      <c r="H303" s="69"/>
      <c r="I303" s="69"/>
      <c r="J303" s="68"/>
      <c r="K303" s="136"/>
      <c r="L303" s="136"/>
      <c r="M303" s="136"/>
      <c r="N303" s="72"/>
      <c r="O303" s="72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  <c r="AC303" s="150"/>
      <c r="AD303" s="150"/>
      <c r="AE303" s="150"/>
      <c r="AF303" s="150"/>
      <c r="AG303" s="150"/>
      <c r="AH303" s="150"/>
      <c r="AI303" s="150"/>
      <c r="AJ303" s="150"/>
      <c r="AK303" s="150"/>
      <c r="AL303" s="150"/>
      <c r="AM303" s="150"/>
      <c r="AN303" s="150"/>
      <c r="AO303" s="150"/>
      <c r="AP303" s="150"/>
      <c r="AQ303" s="150"/>
      <c r="AR303" s="150"/>
      <c r="AS303" s="150"/>
      <c r="AT303" s="150"/>
      <c r="AU303" s="150"/>
      <c r="AV303" s="150"/>
      <c r="AW303" s="150"/>
      <c r="AX303" s="150"/>
      <c r="AY303" s="150"/>
      <c r="AZ303" s="64"/>
      <c r="BA303" s="64"/>
      <c r="BB303" s="64"/>
      <c r="BC303" s="140"/>
      <c r="BD303" s="140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2"/>
      <c r="BV303" s="62"/>
      <c r="BW303" s="62"/>
      <c r="BX303" s="62"/>
      <c r="BY303" s="62"/>
      <c r="BZ303" s="62"/>
      <c r="CA303" s="62"/>
      <c r="CB303" s="62"/>
    </row>
    <row r="304" ht="15.75" customHeight="1">
      <c r="A304" s="79"/>
      <c r="B304" s="69"/>
      <c r="C304" s="79"/>
      <c r="D304" s="79"/>
      <c r="E304" s="68"/>
      <c r="F304" s="69"/>
      <c r="G304" s="69"/>
      <c r="H304" s="69"/>
      <c r="I304" s="69"/>
      <c r="J304" s="68"/>
      <c r="K304" s="136"/>
      <c r="L304" s="136"/>
      <c r="M304" s="136"/>
      <c r="N304" s="72"/>
      <c r="O304" s="72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  <c r="AB304" s="150"/>
      <c r="AC304" s="150"/>
      <c r="AD304" s="150"/>
      <c r="AE304" s="150"/>
      <c r="AF304" s="150"/>
      <c r="AG304" s="150"/>
      <c r="AH304" s="150"/>
      <c r="AI304" s="150"/>
      <c r="AJ304" s="150"/>
      <c r="AK304" s="150"/>
      <c r="AL304" s="150"/>
      <c r="AM304" s="150"/>
      <c r="AN304" s="150"/>
      <c r="AO304" s="150"/>
      <c r="AP304" s="150"/>
      <c r="AQ304" s="150"/>
      <c r="AR304" s="150"/>
      <c r="AS304" s="150"/>
      <c r="AT304" s="150"/>
      <c r="AU304" s="150"/>
      <c r="AV304" s="150"/>
      <c r="AW304" s="150"/>
      <c r="AX304" s="150"/>
      <c r="AY304" s="150"/>
      <c r="AZ304" s="64"/>
      <c r="BA304" s="64"/>
      <c r="BB304" s="64"/>
      <c r="BC304" s="140"/>
      <c r="BD304" s="140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</row>
    <row r="305" ht="15.75" customHeight="1">
      <c r="A305" s="79"/>
      <c r="B305" s="69"/>
      <c r="C305" s="79"/>
      <c r="D305" s="79"/>
      <c r="E305" s="68"/>
      <c r="F305" s="69"/>
      <c r="G305" s="69"/>
      <c r="H305" s="69"/>
      <c r="I305" s="69"/>
      <c r="J305" s="68"/>
      <c r="K305" s="136"/>
      <c r="L305" s="136"/>
      <c r="M305" s="136"/>
      <c r="N305" s="72"/>
      <c r="O305" s="72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  <c r="AC305" s="150"/>
      <c r="AD305" s="150"/>
      <c r="AE305" s="150"/>
      <c r="AF305" s="150"/>
      <c r="AG305" s="150"/>
      <c r="AH305" s="150"/>
      <c r="AI305" s="150"/>
      <c r="AJ305" s="150"/>
      <c r="AK305" s="150"/>
      <c r="AL305" s="150"/>
      <c r="AM305" s="150"/>
      <c r="AN305" s="150"/>
      <c r="AO305" s="150"/>
      <c r="AP305" s="150"/>
      <c r="AQ305" s="150"/>
      <c r="AR305" s="150"/>
      <c r="AS305" s="150"/>
      <c r="AT305" s="150"/>
      <c r="AU305" s="150"/>
      <c r="AV305" s="150"/>
      <c r="AW305" s="150"/>
      <c r="AX305" s="150"/>
      <c r="AY305" s="150"/>
      <c r="AZ305" s="64"/>
      <c r="BA305" s="64"/>
      <c r="BB305" s="64"/>
      <c r="BC305" s="140"/>
      <c r="BD305" s="140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2"/>
      <c r="BV305" s="62"/>
      <c r="BW305" s="62"/>
      <c r="BX305" s="62"/>
      <c r="BY305" s="62"/>
      <c r="BZ305" s="62"/>
      <c r="CA305" s="62"/>
      <c r="CB305" s="62"/>
    </row>
    <row r="306" ht="15.75" customHeight="1">
      <c r="A306" s="79"/>
      <c r="B306" s="69"/>
      <c r="C306" s="79"/>
      <c r="D306" s="79"/>
      <c r="E306" s="68"/>
      <c r="F306" s="69"/>
      <c r="G306" s="69"/>
      <c r="H306" s="69"/>
      <c r="I306" s="69"/>
      <c r="J306" s="68"/>
      <c r="K306" s="136"/>
      <c r="L306" s="136"/>
      <c r="M306" s="136"/>
      <c r="N306" s="72"/>
      <c r="O306" s="72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  <c r="AB306" s="150"/>
      <c r="AC306" s="150"/>
      <c r="AD306" s="150"/>
      <c r="AE306" s="150"/>
      <c r="AF306" s="150"/>
      <c r="AG306" s="150"/>
      <c r="AH306" s="150"/>
      <c r="AI306" s="150"/>
      <c r="AJ306" s="150"/>
      <c r="AK306" s="150"/>
      <c r="AL306" s="150"/>
      <c r="AM306" s="150"/>
      <c r="AN306" s="150"/>
      <c r="AO306" s="150"/>
      <c r="AP306" s="150"/>
      <c r="AQ306" s="150"/>
      <c r="AR306" s="150"/>
      <c r="AS306" s="150"/>
      <c r="AT306" s="150"/>
      <c r="AU306" s="150"/>
      <c r="AV306" s="150"/>
      <c r="AW306" s="150"/>
      <c r="AX306" s="150"/>
      <c r="AY306" s="150"/>
      <c r="AZ306" s="64"/>
      <c r="BA306" s="64"/>
      <c r="BB306" s="64"/>
      <c r="BC306" s="140"/>
      <c r="BD306" s="140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</row>
    <row r="307" ht="15.75" customHeight="1">
      <c r="A307" s="79"/>
      <c r="B307" s="69"/>
      <c r="C307" s="79"/>
      <c r="D307" s="79"/>
      <c r="E307" s="68"/>
      <c r="F307" s="69"/>
      <c r="G307" s="69"/>
      <c r="H307" s="69"/>
      <c r="I307" s="69"/>
      <c r="J307" s="68"/>
      <c r="K307" s="136"/>
      <c r="L307" s="136"/>
      <c r="M307" s="136"/>
      <c r="N307" s="72"/>
      <c r="O307" s="72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  <c r="AB307" s="150"/>
      <c r="AC307" s="150"/>
      <c r="AD307" s="150"/>
      <c r="AE307" s="150"/>
      <c r="AF307" s="150"/>
      <c r="AG307" s="150"/>
      <c r="AH307" s="150"/>
      <c r="AI307" s="150"/>
      <c r="AJ307" s="150"/>
      <c r="AK307" s="150"/>
      <c r="AL307" s="150"/>
      <c r="AM307" s="150"/>
      <c r="AN307" s="150"/>
      <c r="AO307" s="150"/>
      <c r="AP307" s="150"/>
      <c r="AQ307" s="150"/>
      <c r="AR307" s="150"/>
      <c r="AS307" s="150"/>
      <c r="AT307" s="150"/>
      <c r="AU307" s="150"/>
      <c r="AV307" s="150"/>
      <c r="AW307" s="150"/>
      <c r="AX307" s="150"/>
      <c r="AY307" s="150"/>
      <c r="AZ307" s="64"/>
      <c r="BA307" s="64"/>
      <c r="BB307" s="64"/>
      <c r="BC307" s="140"/>
      <c r="BD307" s="140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2"/>
      <c r="BV307" s="62"/>
      <c r="BW307" s="62"/>
      <c r="BX307" s="62"/>
      <c r="BY307" s="62"/>
      <c r="BZ307" s="62"/>
      <c r="CA307" s="62"/>
      <c r="CB307" s="62"/>
    </row>
    <row r="308" ht="15.75" customHeight="1">
      <c r="A308" s="79"/>
      <c r="B308" s="69"/>
      <c r="C308" s="79"/>
      <c r="D308" s="79"/>
      <c r="E308" s="68"/>
      <c r="F308" s="69"/>
      <c r="G308" s="69"/>
      <c r="H308" s="69"/>
      <c r="I308" s="69"/>
      <c r="J308" s="68"/>
      <c r="K308" s="136"/>
      <c r="L308" s="136"/>
      <c r="M308" s="136"/>
      <c r="N308" s="72"/>
      <c r="O308" s="72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  <c r="AB308" s="150"/>
      <c r="AC308" s="150"/>
      <c r="AD308" s="150"/>
      <c r="AE308" s="150"/>
      <c r="AF308" s="150"/>
      <c r="AG308" s="150"/>
      <c r="AH308" s="150"/>
      <c r="AI308" s="150"/>
      <c r="AJ308" s="150"/>
      <c r="AK308" s="150"/>
      <c r="AL308" s="150"/>
      <c r="AM308" s="150"/>
      <c r="AN308" s="150"/>
      <c r="AO308" s="150"/>
      <c r="AP308" s="150"/>
      <c r="AQ308" s="150"/>
      <c r="AR308" s="150"/>
      <c r="AS308" s="150"/>
      <c r="AT308" s="150"/>
      <c r="AU308" s="150"/>
      <c r="AV308" s="150"/>
      <c r="AW308" s="150"/>
      <c r="AX308" s="150"/>
      <c r="AY308" s="150"/>
      <c r="AZ308" s="64"/>
      <c r="BA308" s="64"/>
      <c r="BB308" s="64"/>
      <c r="BC308" s="140"/>
      <c r="BD308" s="140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</row>
    <row r="309" ht="15.75" customHeight="1">
      <c r="A309" s="79"/>
      <c r="B309" s="69"/>
      <c r="C309" s="79"/>
      <c r="D309" s="79"/>
      <c r="E309" s="68"/>
      <c r="F309" s="69"/>
      <c r="G309" s="69"/>
      <c r="H309" s="69"/>
      <c r="I309" s="69"/>
      <c r="J309" s="68"/>
      <c r="K309" s="136"/>
      <c r="L309" s="136"/>
      <c r="M309" s="136"/>
      <c r="N309" s="72"/>
      <c r="O309" s="72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  <c r="AB309" s="150"/>
      <c r="AC309" s="150"/>
      <c r="AD309" s="150"/>
      <c r="AE309" s="150"/>
      <c r="AF309" s="150"/>
      <c r="AG309" s="150"/>
      <c r="AH309" s="150"/>
      <c r="AI309" s="150"/>
      <c r="AJ309" s="150"/>
      <c r="AK309" s="150"/>
      <c r="AL309" s="150"/>
      <c r="AM309" s="150"/>
      <c r="AN309" s="150"/>
      <c r="AO309" s="150"/>
      <c r="AP309" s="150"/>
      <c r="AQ309" s="150"/>
      <c r="AR309" s="150"/>
      <c r="AS309" s="150"/>
      <c r="AT309" s="150"/>
      <c r="AU309" s="150"/>
      <c r="AV309" s="150"/>
      <c r="AW309" s="150"/>
      <c r="AX309" s="150"/>
      <c r="AY309" s="150"/>
      <c r="AZ309" s="64"/>
      <c r="BA309" s="64"/>
      <c r="BB309" s="64"/>
      <c r="BC309" s="140"/>
      <c r="BD309" s="140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2"/>
      <c r="BV309" s="62"/>
      <c r="BW309" s="62"/>
      <c r="BX309" s="62"/>
      <c r="BY309" s="62"/>
      <c r="BZ309" s="62"/>
      <c r="CA309" s="62"/>
      <c r="CB309" s="62"/>
    </row>
    <row r="310" ht="15.75" customHeight="1">
      <c r="A310" s="79"/>
      <c r="B310" s="69"/>
      <c r="C310" s="79"/>
      <c r="D310" s="79"/>
      <c r="E310" s="68"/>
      <c r="F310" s="69"/>
      <c r="G310" s="69"/>
      <c r="H310" s="69"/>
      <c r="I310" s="69"/>
      <c r="J310" s="68"/>
      <c r="K310" s="136"/>
      <c r="L310" s="136"/>
      <c r="M310" s="136"/>
      <c r="N310" s="72"/>
      <c r="O310" s="72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  <c r="AB310" s="150"/>
      <c r="AC310" s="150"/>
      <c r="AD310" s="150"/>
      <c r="AE310" s="150"/>
      <c r="AF310" s="150"/>
      <c r="AG310" s="150"/>
      <c r="AH310" s="150"/>
      <c r="AI310" s="150"/>
      <c r="AJ310" s="150"/>
      <c r="AK310" s="150"/>
      <c r="AL310" s="150"/>
      <c r="AM310" s="150"/>
      <c r="AN310" s="150"/>
      <c r="AO310" s="150"/>
      <c r="AP310" s="150"/>
      <c r="AQ310" s="150"/>
      <c r="AR310" s="150"/>
      <c r="AS310" s="150"/>
      <c r="AT310" s="150"/>
      <c r="AU310" s="150"/>
      <c r="AV310" s="150"/>
      <c r="AW310" s="150"/>
      <c r="AX310" s="150"/>
      <c r="AY310" s="150"/>
      <c r="AZ310" s="64"/>
      <c r="BA310" s="64"/>
      <c r="BB310" s="64"/>
      <c r="BC310" s="140"/>
      <c r="BD310" s="140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</row>
    <row r="311" ht="15.75" customHeight="1">
      <c r="A311" s="62"/>
      <c r="B311" s="79"/>
      <c r="C311" s="62"/>
      <c r="D311" s="62"/>
      <c r="E311" s="74"/>
      <c r="F311" s="62"/>
      <c r="G311" s="62"/>
      <c r="H311" s="62"/>
      <c r="I311" s="79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143"/>
      <c r="V311" s="143"/>
      <c r="W311" s="143"/>
      <c r="X311" s="62"/>
      <c r="Y311" s="62"/>
      <c r="Z311" s="143"/>
      <c r="AA311" s="143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78"/>
      <c r="BD311" s="78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2"/>
      <c r="BV311" s="62"/>
      <c r="BW311" s="62"/>
      <c r="BX311" s="62"/>
      <c r="BY311" s="62"/>
      <c r="BZ311" s="62"/>
      <c r="CA311" s="62"/>
      <c r="CB311" s="62"/>
    </row>
    <row r="312" ht="15.75" customHeight="1">
      <c r="A312" s="62"/>
      <c r="B312" s="79"/>
      <c r="C312" s="62"/>
      <c r="D312" s="62"/>
      <c r="E312" s="74"/>
      <c r="F312" s="62"/>
      <c r="G312" s="62"/>
      <c r="H312" s="62"/>
      <c r="I312" s="79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143"/>
      <c r="V312" s="143"/>
      <c r="W312" s="143"/>
      <c r="X312" s="62"/>
      <c r="Y312" s="62"/>
      <c r="Z312" s="143"/>
      <c r="AA312" s="143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78"/>
      <c r="BD312" s="78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</row>
    <row r="313" ht="15.75" customHeight="1">
      <c r="A313" s="62"/>
      <c r="B313" s="79"/>
      <c r="C313" s="62"/>
      <c r="D313" s="62"/>
      <c r="E313" s="74"/>
      <c r="F313" s="62"/>
      <c r="G313" s="62"/>
      <c r="H313" s="62"/>
      <c r="I313" s="79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143"/>
      <c r="V313" s="143"/>
      <c r="W313" s="143"/>
      <c r="X313" s="62"/>
      <c r="Y313" s="62"/>
      <c r="Z313" s="143"/>
      <c r="AA313" s="143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78"/>
      <c r="BD313" s="78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2"/>
      <c r="BV313" s="62"/>
      <c r="BW313" s="62"/>
      <c r="BX313" s="62"/>
      <c r="BY313" s="62"/>
      <c r="BZ313" s="62"/>
      <c r="CA313" s="62"/>
      <c r="CB313" s="62"/>
    </row>
    <row r="314" ht="15.75" customHeight="1">
      <c r="A314" s="62"/>
      <c r="B314" s="79"/>
      <c r="C314" s="62"/>
      <c r="D314" s="62"/>
      <c r="E314" s="74"/>
      <c r="F314" s="62"/>
      <c r="G314" s="62"/>
      <c r="H314" s="62"/>
      <c r="I314" s="79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143"/>
      <c r="V314" s="143"/>
      <c r="W314" s="143"/>
      <c r="X314" s="62"/>
      <c r="Y314" s="62"/>
      <c r="Z314" s="143"/>
      <c r="AA314" s="143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78"/>
      <c r="BD314" s="78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</row>
    <row r="315" ht="15.75" customHeight="1">
      <c r="A315" s="62"/>
      <c r="B315" s="79"/>
      <c r="C315" s="62"/>
      <c r="D315" s="62"/>
      <c r="E315" s="74"/>
      <c r="F315" s="62"/>
      <c r="G315" s="62"/>
      <c r="H315" s="62"/>
      <c r="I315" s="79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143"/>
      <c r="V315" s="143"/>
      <c r="W315" s="143"/>
      <c r="X315" s="62"/>
      <c r="Y315" s="62"/>
      <c r="Z315" s="143"/>
      <c r="AA315" s="143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78"/>
      <c r="BD315" s="78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</row>
    <row r="316" ht="15.75" customHeight="1">
      <c r="A316" s="62"/>
      <c r="B316" s="79"/>
      <c r="C316" s="62"/>
      <c r="D316" s="62"/>
      <c r="E316" s="74"/>
      <c r="F316" s="62"/>
      <c r="G316" s="62"/>
      <c r="H316" s="62"/>
      <c r="I316" s="79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143"/>
      <c r="V316" s="143"/>
      <c r="W316" s="143"/>
      <c r="X316" s="62"/>
      <c r="Y316" s="62"/>
      <c r="Z316" s="143"/>
      <c r="AA316" s="143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78"/>
      <c r="BD316" s="78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</row>
    <row r="317" ht="15.75" customHeight="1">
      <c r="A317" s="62"/>
      <c r="B317" s="79"/>
      <c r="C317" s="62"/>
      <c r="D317" s="62"/>
      <c r="E317" s="74"/>
      <c r="F317" s="62"/>
      <c r="G317" s="62"/>
      <c r="H317" s="62"/>
      <c r="I317" s="79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143"/>
      <c r="V317" s="143"/>
      <c r="W317" s="143"/>
      <c r="X317" s="62"/>
      <c r="Y317" s="62"/>
      <c r="Z317" s="143"/>
      <c r="AA317" s="143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78"/>
      <c r="BD317" s="78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</row>
    <row r="318" ht="15.75" customHeight="1">
      <c r="A318" s="62"/>
      <c r="B318" s="79"/>
      <c r="C318" s="62"/>
      <c r="D318" s="62"/>
      <c r="E318" s="74"/>
      <c r="F318" s="62"/>
      <c r="G318" s="62"/>
      <c r="H318" s="62"/>
      <c r="I318" s="79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143"/>
      <c r="V318" s="143"/>
      <c r="W318" s="143"/>
      <c r="X318" s="62"/>
      <c r="Y318" s="62"/>
      <c r="Z318" s="143"/>
      <c r="AA318" s="143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78"/>
      <c r="BD318" s="78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</row>
    <row r="319" ht="15.75" customHeight="1">
      <c r="A319" s="62"/>
      <c r="B319" s="79"/>
      <c r="C319" s="62"/>
      <c r="D319" s="62"/>
      <c r="E319" s="74"/>
      <c r="F319" s="62"/>
      <c r="G319" s="62"/>
      <c r="H319" s="62"/>
      <c r="I319" s="79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143"/>
      <c r="V319" s="143"/>
      <c r="W319" s="143"/>
      <c r="X319" s="62"/>
      <c r="Y319" s="62"/>
      <c r="Z319" s="143"/>
      <c r="AA319" s="143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78"/>
      <c r="BD319" s="78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</row>
    <row r="320" ht="15.75" customHeight="1">
      <c r="A320" s="62"/>
      <c r="B320" s="79"/>
      <c r="C320" s="62"/>
      <c r="D320" s="62"/>
      <c r="E320" s="74"/>
      <c r="F320" s="62"/>
      <c r="G320" s="62"/>
      <c r="H320" s="62"/>
      <c r="I320" s="79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143"/>
      <c r="V320" s="143"/>
      <c r="W320" s="143"/>
      <c r="X320" s="62"/>
      <c r="Y320" s="62"/>
      <c r="Z320" s="143"/>
      <c r="AA320" s="143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78"/>
      <c r="BD320" s="78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</row>
    <row r="321" ht="15.75" customHeight="1">
      <c r="A321" s="62"/>
      <c r="B321" s="79"/>
      <c r="C321" s="62"/>
      <c r="D321" s="62"/>
      <c r="E321" s="74"/>
      <c r="F321" s="62"/>
      <c r="G321" s="62"/>
      <c r="H321" s="62"/>
      <c r="I321" s="79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143"/>
      <c r="V321" s="143"/>
      <c r="W321" s="143"/>
      <c r="X321" s="62"/>
      <c r="Y321" s="62"/>
      <c r="Z321" s="143"/>
      <c r="AA321" s="143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78"/>
      <c r="BD321" s="78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</row>
    <row r="322" ht="15.75" customHeight="1">
      <c r="A322" s="62"/>
      <c r="B322" s="79"/>
      <c r="C322" s="62"/>
      <c r="D322" s="62"/>
      <c r="E322" s="74"/>
      <c r="F322" s="62"/>
      <c r="G322" s="62"/>
      <c r="H322" s="62"/>
      <c r="I322" s="79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143"/>
      <c r="V322" s="143"/>
      <c r="W322" s="143"/>
      <c r="X322" s="62"/>
      <c r="Y322" s="62"/>
      <c r="Z322" s="143"/>
      <c r="AA322" s="143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78"/>
      <c r="BD322" s="78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</row>
    <row r="323" ht="15.75" customHeight="1">
      <c r="A323" s="62"/>
      <c r="B323" s="79"/>
      <c r="C323" s="62"/>
      <c r="D323" s="62"/>
      <c r="E323" s="74"/>
      <c r="F323" s="62"/>
      <c r="G323" s="62"/>
      <c r="H323" s="62"/>
      <c r="I323" s="79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143"/>
      <c r="V323" s="143"/>
      <c r="W323" s="143"/>
      <c r="X323" s="62"/>
      <c r="Y323" s="62"/>
      <c r="Z323" s="143"/>
      <c r="AA323" s="143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78"/>
      <c r="BD323" s="78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</row>
    <row r="324" ht="15.75" customHeight="1">
      <c r="A324" s="62"/>
      <c r="B324" s="79"/>
      <c r="C324" s="62"/>
      <c r="D324" s="62"/>
      <c r="E324" s="74"/>
      <c r="F324" s="62"/>
      <c r="G324" s="62"/>
      <c r="H324" s="62"/>
      <c r="I324" s="79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143"/>
      <c r="V324" s="143"/>
      <c r="W324" s="143"/>
      <c r="X324" s="62"/>
      <c r="Y324" s="62"/>
      <c r="Z324" s="143"/>
      <c r="AA324" s="143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78"/>
      <c r="BD324" s="78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</row>
    <row r="325" ht="15.75" customHeight="1">
      <c r="A325" s="62"/>
      <c r="B325" s="79"/>
      <c r="C325" s="62"/>
      <c r="D325" s="62"/>
      <c r="E325" s="74"/>
      <c r="F325" s="62"/>
      <c r="G325" s="62"/>
      <c r="H325" s="62"/>
      <c r="I325" s="79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143"/>
      <c r="V325" s="143"/>
      <c r="W325" s="143"/>
      <c r="X325" s="62"/>
      <c r="Y325" s="62"/>
      <c r="Z325" s="143"/>
      <c r="AA325" s="143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78"/>
      <c r="BD325" s="78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2"/>
      <c r="BV325" s="62"/>
      <c r="BW325" s="62"/>
      <c r="BX325" s="62"/>
      <c r="BY325" s="62"/>
      <c r="BZ325" s="62"/>
      <c r="CA325" s="62"/>
      <c r="CB325" s="62"/>
    </row>
    <row r="326" ht="15.75" customHeight="1">
      <c r="A326" s="62"/>
      <c r="B326" s="79"/>
      <c r="C326" s="62"/>
      <c r="D326" s="62"/>
      <c r="E326" s="74"/>
      <c r="F326" s="62"/>
      <c r="G326" s="62"/>
      <c r="H326" s="62"/>
      <c r="I326" s="79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143"/>
      <c r="V326" s="143"/>
      <c r="W326" s="143"/>
      <c r="X326" s="62"/>
      <c r="Y326" s="62"/>
      <c r="Z326" s="143"/>
      <c r="AA326" s="143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78"/>
      <c r="BD326" s="78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</row>
    <row r="327" ht="15.75" customHeight="1">
      <c r="A327" s="62"/>
      <c r="B327" s="79"/>
      <c r="C327" s="62"/>
      <c r="D327" s="62"/>
      <c r="E327" s="74"/>
      <c r="F327" s="62"/>
      <c r="G327" s="62"/>
      <c r="H327" s="62"/>
      <c r="I327" s="79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143"/>
      <c r="V327" s="143"/>
      <c r="W327" s="143"/>
      <c r="X327" s="62"/>
      <c r="Y327" s="62"/>
      <c r="Z327" s="143"/>
      <c r="AA327" s="143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78"/>
      <c r="BD327" s="78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  <c r="BS327" s="62"/>
      <c r="BT327" s="62"/>
      <c r="BU327" s="62"/>
      <c r="BV327" s="62"/>
      <c r="BW327" s="62"/>
      <c r="BX327" s="62"/>
      <c r="BY327" s="62"/>
      <c r="BZ327" s="62"/>
      <c r="CA327" s="62"/>
      <c r="CB327" s="62"/>
    </row>
    <row r="328" ht="15.75" customHeight="1">
      <c r="A328" s="62"/>
      <c r="B328" s="79"/>
      <c r="C328" s="62"/>
      <c r="D328" s="62"/>
      <c r="E328" s="74"/>
      <c r="F328" s="62"/>
      <c r="G328" s="62"/>
      <c r="H328" s="62"/>
      <c r="I328" s="79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143"/>
      <c r="V328" s="143"/>
      <c r="W328" s="143"/>
      <c r="X328" s="62"/>
      <c r="Y328" s="62"/>
      <c r="Z328" s="143"/>
      <c r="AA328" s="143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78"/>
      <c r="BD328" s="78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</row>
    <row r="329" ht="15.75" customHeight="1">
      <c r="A329" s="62"/>
      <c r="B329" s="79"/>
      <c r="C329" s="62"/>
      <c r="D329" s="62"/>
      <c r="E329" s="74"/>
      <c r="F329" s="62"/>
      <c r="G329" s="62"/>
      <c r="H329" s="62"/>
      <c r="I329" s="79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143"/>
      <c r="V329" s="143"/>
      <c r="W329" s="143"/>
      <c r="X329" s="62"/>
      <c r="Y329" s="62"/>
      <c r="Z329" s="143"/>
      <c r="AA329" s="143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78"/>
      <c r="BD329" s="78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  <c r="BS329" s="62"/>
      <c r="BT329" s="62"/>
      <c r="BU329" s="62"/>
      <c r="BV329" s="62"/>
      <c r="BW329" s="62"/>
      <c r="BX329" s="62"/>
      <c r="BY329" s="62"/>
      <c r="BZ329" s="62"/>
      <c r="CA329" s="62"/>
      <c r="CB329" s="62"/>
    </row>
    <row r="330" ht="15.75" customHeight="1">
      <c r="A330" s="62"/>
      <c r="B330" s="79"/>
      <c r="C330" s="62"/>
      <c r="D330" s="62"/>
      <c r="E330" s="74"/>
      <c r="F330" s="62"/>
      <c r="G330" s="62"/>
      <c r="H330" s="62"/>
      <c r="I330" s="79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143"/>
      <c r="V330" s="143"/>
      <c r="W330" s="143"/>
      <c r="X330" s="62"/>
      <c r="Y330" s="62"/>
      <c r="Z330" s="143"/>
      <c r="AA330" s="143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78"/>
      <c r="BD330" s="78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</row>
    <row r="331" ht="15.75" customHeight="1">
      <c r="A331" s="62"/>
      <c r="B331" s="79"/>
      <c r="C331" s="62"/>
      <c r="D331" s="62"/>
      <c r="E331" s="74"/>
      <c r="F331" s="62"/>
      <c r="G331" s="62"/>
      <c r="H331" s="62"/>
      <c r="I331" s="79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143"/>
      <c r="V331" s="143"/>
      <c r="W331" s="143"/>
      <c r="X331" s="62"/>
      <c r="Y331" s="62"/>
      <c r="Z331" s="143"/>
      <c r="AA331" s="143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78"/>
      <c r="BD331" s="78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  <c r="BS331" s="62"/>
      <c r="BT331" s="62"/>
      <c r="BU331" s="62"/>
      <c r="BV331" s="62"/>
      <c r="BW331" s="62"/>
      <c r="BX331" s="62"/>
      <c r="BY331" s="62"/>
      <c r="BZ331" s="62"/>
      <c r="CA331" s="62"/>
      <c r="CB331" s="62"/>
    </row>
    <row r="332" ht="15.75" customHeight="1">
      <c r="A332" s="62"/>
      <c r="B332" s="79"/>
      <c r="C332" s="62"/>
      <c r="D332" s="62"/>
      <c r="E332" s="74"/>
      <c r="F332" s="62"/>
      <c r="G332" s="62"/>
      <c r="H332" s="62"/>
      <c r="I332" s="79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143"/>
      <c r="V332" s="143"/>
      <c r="W332" s="143"/>
      <c r="X332" s="62"/>
      <c r="Y332" s="62"/>
      <c r="Z332" s="143"/>
      <c r="AA332" s="143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78"/>
      <c r="BD332" s="78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</row>
    <row r="333" ht="15.75" customHeight="1">
      <c r="A333" s="62"/>
      <c r="B333" s="79"/>
      <c r="C333" s="62"/>
      <c r="D333" s="62"/>
      <c r="E333" s="74"/>
      <c r="F333" s="62"/>
      <c r="G333" s="62"/>
      <c r="H333" s="62"/>
      <c r="I333" s="79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143"/>
      <c r="V333" s="143"/>
      <c r="W333" s="143"/>
      <c r="X333" s="62"/>
      <c r="Y333" s="62"/>
      <c r="Z333" s="143"/>
      <c r="AA333" s="143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78"/>
      <c r="BD333" s="78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  <c r="BS333" s="62"/>
      <c r="BT333" s="62"/>
      <c r="BU333" s="62"/>
      <c r="BV333" s="62"/>
      <c r="BW333" s="62"/>
      <c r="BX333" s="62"/>
      <c r="BY333" s="62"/>
      <c r="BZ333" s="62"/>
      <c r="CA333" s="62"/>
      <c r="CB333" s="62"/>
    </row>
    <row r="334" ht="15.75" customHeight="1">
      <c r="A334" s="62"/>
      <c r="B334" s="79"/>
      <c r="C334" s="62"/>
      <c r="D334" s="62"/>
      <c r="E334" s="74"/>
      <c r="F334" s="62"/>
      <c r="G334" s="62"/>
      <c r="H334" s="62"/>
      <c r="I334" s="79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143"/>
      <c r="V334" s="143"/>
      <c r="W334" s="143"/>
      <c r="X334" s="62"/>
      <c r="Y334" s="62"/>
      <c r="Z334" s="143"/>
      <c r="AA334" s="143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78"/>
      <c r="BD334" s="78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</row>
    <row r="335" ht="15.75" customHeight="1">
      <c r="A335" s="62"/>
      <c r="B335" s="79"/>
      <c r="C335" s="62"/>
      <c r="D335" s="62"/>
      <c r="E335" s="74"/>
      <c r="F335" s="62"/>
      <c r="G335" s="62"/>
      <c r="H335" s="62"/>
      <c r="I335" s="79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143"/>
      <c r="V335" s="143"/>
      <c r="W335" s="143"/>
      <c r="X335" s="62"/>
      <c r="Y335" s="62"/>
      <c r="Z335" s="143"/>
      <c r="AA335" s="143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78"/>
      <c r="BD335" s="78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</row>
    <row r="336" ht="15.75" customHeight="1">
      <c r="A336" s="62"/>
      <c r="B336" s="79"/>
      <c r="C336" s="62"/>
      <c r="D336" s="62"/>
      <c r="E336" s="74"/>
      <c r="F336" s="62"/>
      <c r="G336" s="62"/>
      <c r="H336" s="62"/>
      <c r="I336" s="79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143"/>
      <c r="V336" s="143"/>
      <c r="W336" s="143"/>
      <c r="X336" s="62"/>
      <c r="Y336" s="62"/>
      <c r="Z336" s="143"/>
      <c r="AA336" s="143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78"/>
      <c r="BD336" s="78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</row>
    <row r="337" ht="15.75" customHeight="1">
      <c r="A337" s="62"/>
      <c r="B337" s="79"/>
      <c r="C337" s="62"/>
      <c r="D337" s="62"/>
      <c r="E337" s="74"/>
      <c r="F337" s="62"/>
      <c r="G337" s="62"/>
      <c r="H337" s="62"/>
      <c r="I337" s="79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143"/>
      <c r="V337" s="143"/>
      <c r="W337" s="143"/>
      <c r="X337" s="62"/>
      <c r="Y337" s="62"/>
      <c r="Z337" s="143"/>
      <c r="AA337" s="143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78"/>
      <c r="BD337" s="78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  <c r="BS337" s="62"/>
      <c r="BT337" s="62"/>
      <c r="BU337" s="62"/>
      <c r="BV337" s="62"/>
      <c r="BW337" s="62"/>
      <c r="BX337" s="62"/>
      <c r="BY337" s="62"/>
      <c r="BZ337" s="62"/>
      <c r="CA337" s="62"/>
      <c r="CB337" s="62"/>
    </row>
    <row r="338" ht="15.75" customHeight="1">
      <c r="A338" s="62"/>
      <c r="B338" s="79"/>
      <c r="C338" s="62"/>
      <c r="D338" s="62"/>
      <c r="E338" s="74"/>
      <c r="F338" s="62"/>
      <c r="G338" s="62"/>
      <c r="H338" s="62"/>
      <c r="I338" s="79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143"/>
      <c r="V338" s="143"/>
      <c r="W338" s="143"/>
      <c r="X338" s="62"/>
      <c r="Y338" s="62"/>
      <c r="Z338" s="143"/>
      <c r="AA338" s="143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78"/>
      <c r="BD338" s="78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</row>
    <row r="339" ht="15.75" customHeight="1">
      <c r="A339" s="62"/>
      <c r="B339" s="79"/>
      <c r="C339" s="62"/>
      <c r="D339" s="62"/>
      <c r="E339" s="74"/>
      <c r="F339" s="62"/>
      <c r="G339" s="62"/>
      <c r="H339" s="62"/>
      <c r="I339" s="79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143"/>
      <c r="V339" s="143"/>
      <c r="W339" s="143"/>
      <c r="X339" s="62"/>
      <c r="Y339" s="62"/>
      <c r="Z339" s="143"/>
      <c r="AA339" s="143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78"/>
      <c r="BD339" s="78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  <c r="BS339" s="62"/>
      <c r="BT339" s="62"/>
      <c r="BU339" s="62"/>
      <c r="BV339" s="62"/>
      <c r="BW339" s="62"/>
      <c r="BX339" s="62"/>
      <c r="BY339" s="62"/>
      <c r="BZ339" s="62"/>
      <c r="CA339" s="62"/>
      <c r="CB339" s="62"/>
    </row>
    <row r="340" ht="15.75" customHeight="1">
      <c r="A340" s="62"/>
      <c r="B340" s="79"/>
      <c r="C340" s="62"/>
      <c r="D340" s="62"/>
      <c r="E340" s="74"/>
      <c r="F340" s="62"/>
      <c r="G340" s="62"/>
      <c r="H340" s="62"/>
      <c r="I340" s="79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143"/>
      <c r="V340" s="143"/>
      <c r="W340" s="143"/>
      <c r="X340" s="62"/>
      <c r="Y340" s="62"/>
      <c r="Z340" s="143"/>
      <c r="AA340" s="143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78"/>
      <c r="BD340" s="78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</row>
    <row r="341" ht="15.75" customHeight="1">
      <c r="A341" s="62"/>
      <c r="B341" s="79"/>
      <c r="C341" s="62"/>
      <c r="D341" s="62"/>
      <c r="E341" s="74"/>
      <c r="F341" s="62"/>
      <c r="G341" s="62"/>
      <c r="H341" s="62"/>
      <c r="I341" s="79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143"/>
      <c r="V341" s="143"/>
      <c r="W341" s="143"/>
      <c r="X341" s="62"/>
      <c r="Y341" s="62"/>
      <c r="Z341" s="143"/>
      <c r="AA341" s="143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78"/>
      <c r="BD341" s="78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  <c r="BS341" s="62"/>
      <c r="BT341" s="62"/>
      <c r="BU341" s="62"/>
      <c r="BV341" s="62"/>
      <c r="BW341" s="62"/>
      <c r="BX341" s="62"/>
      <c r="BY341" s="62"/>
      <c r="BZ341" s="62"/>
      <c r="CA341" s="62"/>
      <c r="CB341" s="62"/>
    </row>
    <row r="342" ht="15.75" customHeight="1">
      <c r="A342" s="62"/>
      <c r="B342" s="79"/>
      <c r="C342" s="62"/>
      <c r="D342" s="62"/>
      <c r="E342" s="74"/>
      <c r="F342" s="62"/>
      <c r="G342" s="62"/>
      <c r="H342" s="62"/>
      <c r="I342" s="79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143"/>
      <c r="V342" s="143"/>
      <c r="W342" s="143"/>
      <c r="X342" s="62"/>
      <c r="Y342" s="62"/>
      <c r="Z342" s="143"/>
      <c r="AA342" s="143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78"/>
      <c r="BD342" s="78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</row>
    <row r="343" ht="15.75" customHeight="1">
      <c r="A343" s="62"/>
      <c r="B343" s="79"/>
      <c r="C343" s="62"/>
      <c r="D343" s="62"/>
      <c r="E343" s="74"/>
      <c r="F343" s="62"/>
      <c r="G343" s="62"/>
      <c r="H343" s="62"/>
      <c r="I343" s="79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143"/>
      <c r="V343" s="143"/>
      <c r="W343" s="143"/>
      <c r="X343" s="62"/>
      <c r="Y343" s="62"/>
      <c r="Z343" s="143"/>
      <c r="AA343" s="143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78"/>
      <c r="BD343" s="78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  <c r="BZ343" s="62"/>
      <c r="CA343" s="62"/>
      <c r="CB343" s="62"/>
    </row>
    <row r="344" ht="15.75" customHeight="1">
      <c r="A344" s="62"/>
      <c r="B344" s="79"/>
      <c r="C344" s="62"/>
      <c r="D344" s="62"/>
      <c r="E344" s="74"/>
      <c r="F344" s="62"/>
      <c r="G344" s="62"/>
      <c r="H344" s="62"/>
      <c r="I344" s="79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143"/>
      <c r="V344" s="143"/>
      <c r="W344" s="143"/>
      <c r="X344" s="62"/>
      <c r="Y344" s="62"/>
      <c r="Z344" s="143"/>
      <c r="AA344" s="143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78"/>
      <c r="BD344" s="78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</row>
    <row r="345" ht="15.75" customHeight="1">
      <c r="A345" s="62"/>
      <c r="B345" s="79"/>
      <c r="C345" s="62"/>
      <c r="D345" s="62"/>
      <c r="E345" s="74"/>
      <c r="F345" s="62"/>
      <c r="G345" s="62"/>
      <c r="H345" s="62"/>
      <c r="I345" s="79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143"/>
      <c r="V345" s="143"/>
      <c r="W345" s="143"/>
      <c r="X345" s="62"/>
      <c r="Y345" s="62"/>
      <c r="Z345" s="143"/>
      <c r="AA345" s="143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78"/>
      <c r="BD345" s="78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  <c r="BS345" s="62"/>
      <c r="BT345" s="62"/>
      <c r="BU345" s="62"/>
      <c r="BV345" s="62"/>
      <c r="BW345" s="62"/>
      <c r="BX345" s="62"/>
      <c r="BY345" s="62"/>
      <c r="BZ345" s="62"/>
      <c r="CA345" s="62"/>
      <c r="CB345" s="62"/>
    </row>
    <row r="346" ht="15.75" customHeight="1">
      <c r="A346" s="62"/>
      <c r="B346" s="79"/>
      <c r="C346" s="62"/>
      <c r="D346" s="62"/>
      <c r="E346" s="74"/>
      <c r="F346" s="62"/>
      <c r="G346" s="62"/>
      <c r="H346" s="62"/>
      <c r="I346" s="79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143"/>
      <c r="V346" s="143"/>
      <c r="W346" s="143"/>
      <c r="X346" s="62"/>
      <c r="Y346" s="62"/>
      <c r="Z346" s="143"/>
      <c r="AA346" s="143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78"/>
      <c r="BD346" s="78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</row>
    <row r="347" ht="15.75" customHeight="1">
      <c r="A347" s="62"/>
      <c r="B347" s="79"/>
      <c r="C347" s="62"/>
      <c r="D347" s="62"/>
      <c r="E347" s="74"/>
      <c r="F347" s="62"/>
      <c r="G347" s="62"/>
      <c r="H347" s="62"/>
      <c r="I347" s="79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143"/>
      <c r="V347" s="143"/>
      <c r="W347" s="143"/>
      <c r="X347" s="62"/>
      <c r="Y347" s="62"/>
      <c r="Z347" s="143"/>
      <c r="AA347" s="143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78"/>
      <c r="BD347" s="78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  <c r="BS347" s="62"/>
      <c r="BT347" s="62"/>
      <c r="BU347" s="62"/>
      <c r="BV347" s="62"/>
      <c r="BW347" s="62"/>
      <c r="BX347" s="62"/>
      <c r="BY347" s="62"/>
      <c r="BZ347" s="62"/>
      <c r="CA347" s="62"/>
      <c r="CB347" s="62"/>
    </row>
    <row r="348" ht="15.75" customHeight="1">
      <c r="A348" s="62"/>
      <c r="B348" s="79"/>
      <c r="C348" s="62"/>
      <c r="D348" s="62"/>
      <c r="E348" s="74"/>
      <c r="F348" s="62"/>
      <c r="G348" s="62"/>
      <c r="H348" s="62"/>
      <c r="I348" s="79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143"/>
      <c r="V348" s="143"/>
      <c r="W348" s="143"/>
      <c r="X348" s="62"/>
      <c r="Y348" s="62"/>
      <c r="Z348" s="143"/>
      <c r="AA348" s="143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78"/>
      <c r="BD348" s="78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</row>
    <row r="349" ht="15.75" customHeight="1">
      <c r="A349" s="62"/>
      <c r="B349" s="79"/>
      <c r="C349" s="62"/>
      <c r="D349" s="62"/>
      <c r="E349" s="74"/>
      <c r="F349" s="62"/>
      <c r="G349" s="62"/>
      <c r="H349" s="62"/>
      <c r="I349" s="79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143"/>
      <c r="V349" s="143"/>
      <c r="W349" s="143"/>
      <c r="X349" s="62"/>
      <c r="Y349" s="62"/>
      <c r="Z349" s="143"/>
      <c r="AA349" s="143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78"/>
      <c r="BD349" s="78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  <c r="BS349" s="62"/>
      <c r="BT349" s="62"/>
      <c r="BU349" s="62"/>
      <c r="BV349" s="62"/>
      <c r="BW349" s="62"/>
      <c r="BX349" s="62"/>
      <c r="BY349" s="62"/>
      <c r="BZ349" s="62"/>
      <c r="CA349" s="62"/>
      <c r="CB349" s="62"/>
    </row>
    <row r="350" ht="15.75" customHeight="1">
      <c r="A350" s="62"/>
      <c r="B350" s="79"/>
      <c r="C350" s="62"/>
      <c r="D350" s="62"/>
      <c r="E350" s="74"/>
      <c r="F350" s="62"/>
      <c r="G350" s="62"/>
      <c r="H350" s="62"/>
      <c r="I350" s="79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143"/>
      <c r="V350" s="143"/>
      <c r="W350" s="143"/>
      <c r="X350" s="62"/>
      <c r="Y350" s="62"/>
      <c r="Z350" s="143"/>
      <c r="AA350" s="143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78"/>
      <c r="BD350" s="78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</row>
    <row r="351" ht="15.75" customHeight="1">
      <c r="A351" s="62"/>
      <c r="B351" s="79"/>
      <c r="C351" s="62"/>
      <c r="D351" s="62"/>
      <c r="E351" s="74"/>
      <c r="F351" s="62"/>
      <c r="G351" s="62"/>
      <c r="H351" s="62"/>
      <c r="I351" s="79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143"/>
      <c r="V351" s="143"/>
      <c r="W351" s="143"/>
      <c r="X351" s="62"/>
      <c r="Y351" s="62"/>
      <c r="Z351" s="143"/>
      <c r="AA351" s="143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78"/>
      <c r="BD351" s="78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</row>
    <row r="352" ht="15.75" customHeight="1">
      <c r="A352" s="62"/>
      <c r="B352" s="79"/>
      <c r="C352" s="62"/>
      <c r="D352" s="62"/>
      <c r="E352" s="74"/>
      <c r="F352" s="62"/>
      <c r="G352" s="62"/>
      <c r="H352" s="62"/>
      <c r="I352" s="79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143"/>
      <c r="V352" s="143"/>
      <c r="W352" s="143"/>
      <c r="X352" s="62"/>
      <c r="Y352" s="62"/>
      <c r="Z352" s="143"/>
      <c r="AA352" s="143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78"/>
      <c r="BD352" s="78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</row>
    <row r="353" ht="15.75" customHeight="1">
      <c r="A353" s="62"/>
      <c r="B353" s="79"/>
      <c r="C353" s="62"/>
      <c r="D353" s="62"/>
      <c r="E353" s="74"/>
      <c r="F353" s="62"/>
      <c r="G353" s="62"/>
      <c r="H353" s="62"/>
      <c r="I353" s="79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143"/>
      <c r="V353" s="143"/>
      <c r="W353" s="143"/>
      <c r="X353" s="62"/>
      <c r="Y353" s="62"/>
      <c r="Z353" s="143"/>
      <c r="AA353" s="143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78"/>
      <c r="BD353" s="78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</row>
    <row r="354" ht="15.75" customHeight="1">
      <c r="A354" s="62"/>
      <c r="B354" s="79"/>
      <c r="C354" s="62"/>
      <c r="D354" s="62"/>
      <c r="E354" s="74"/>
      <c r="F354" s="62"/>
      <c r="G354" s="62"/>
      <c r="H354" s="62"/>
      <c r="I354" s="79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143"/>
      <c r="V354" s="143"/>
      <c r="W354" s="143"/>
      <c r="X354" s="62"/>
      <c r="Y354" s="62"/>
      <c r="Z354" s="143"/>
      <c r="AA354" s="143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78"/>
      <c r="BD354" s="78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</row>
    <row r="355" ht="15.75" customHeight="1">
      <c r="A355" s="62"/>
      <c r="B355" s="79"/>
      <c r="C355" s="62"/>
      <c r="D355" s="62"/>
      <c r="E355" s="74"/>
      <c r="F355" s="62"/>
      <c r="G355" s="62"/>
      <c r="H355" s="62"/>
      <c r="I355" s="79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143"/>
      <c r="V355" s="143"/>
      <c r="W355" s="143"/>
      <c r="X355" s="62"/>
      <c r="Y355" s="62"/>
      <c r="Z355" s="143"/>
      <c r="AA355" s="143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78"/>
      <c r="BD355" s="78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</row>
    <row r="356" ht="15.75" customHeight="1">
      <c r="A356" s="62"/>
      <c r="B356" s="79"/>
      <c r="C356" s="62"/>
      <c r="D356" s="62"/>
      <c r="E356" s="74"/>
      <c r="F356" s="62"/>
      <c r="G356" s="62"/>
      <c r="H356" s="62"/>
      <c r="I356" s="79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143"/>
      <c r="V356" s="143"/>
      <c r="W356" s="143"/>
      <c r="X356" s="62"/>
      <c r="Y356" s="62"/>
      <c r="Z356" s="143"/>
      <c r="AA356" s="143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78"/>
      <c r="BD356" s="78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</row>
    <row r="357" ht="15.75" customHeight="1">
      <c r="A357" s="62"/>
      <c r="B357" s="79"/>
      <c r="C357" s="62"/>
      <c r="D357" s="62"/>
      <c r="E357" s="74"/>
      <c r="F357" s="62"/>
      <c r="G357" s="62"/>
      <c r="H357" s="62"/>
      <c r="I357" s="79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143"/>
      <c r="V357" s="143"/>
      <c r="W357" s="143"/>
      <c r="X357" s="62"/>
      <c r="Y357" s="62"/>
      <c r="Z357" s="143"/>
      <c r="AA357" s="143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78"/>
      <c r="BD357" s="78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</row>
    <row r="358" ht="15.75" customHeight="1">
      <c r="A358" s="62"/>
      <c r="B358" s="79"/>
      <c r="C358" s="62"/>
      <c r="D358" s="62"/>
      <c r="E358" s="74"/>
      <c r="F358" s="62"/>
      <c r="G358" s="62"/>
      <c r="H358" s="62"/>
      <c r="I358" s="79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143"/>
      <c r="V358" s="143"/>
      <c r="W358" s="143"/>
      <c r="X358" s="62"/>
      <c r="Y358" s="62"/>
      <c r="Z358" s="143"/>
      <c r="AA358" s="143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78"/>
      <c r="BD358" s="78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</row>
    <row r="359" ht="15.75" customHeight="1">
      <c r="A359" s="62"/>
      <c r="B359" s="79"/>
      <c r="C359" s="62"/>
      <c r="D359" s="62"/>
      <c r="E359" s="74"/>
      <c r="F359" s="62"/>
      <c r="G359" s="62"/>
      <c r="H359" s="62"/>
      <c r="I359" s="79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143"/>
      <c r="V359" s="143"/>
      <c r="W359" s="143"/>
      <c r="X359" s="62"/>
      <c r="Y359" s="62"/>
      <c r="Z359" s="143"/>
      <c r="AA359" s="143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78"/>
      <c r="BD359" s="78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</row>
    <row r="360" ht="15.75" customHeight="1">
      <c r="A360" s="62"/>
      <c r="B360" s="79"/>
      <c r="C360" s="62"/>
      <c r="D360" s="62"/>
      <c r="E360" s="74"/>
      <c r="F360" s="62"/>
      <c r="G360" s="62"/>
      <c r="H360" s="62"/>
      <c r="I360" s="79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143"/>
      <c r="V360" s="143"/>
      <c r="W360" s="143"/>
      <c r="X360" s="62"/>
      <c r="Y360" s="62"/>
      <c r="Z360" s="143"/>
      <c r="AA360" s="143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78"/>
      <c r="BD360" s="78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</row>
    <row r="361" ht="15.75" customHeight="1">
      <c r="A361" s="62"/>
      <c r="B361" s="79"/>
      <c r="C361" s="62"/>
      <c r="D361" s="62"/>
      <c r="E361" s="74"/>
      <c r="F361" s="62"/>
      <c r="G361" s="62"/>
      <c r="H361" s="62"/>
      <c r="I361" s="79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143"/>
      <c r="V361" s="143"/>
      <c r="W361" s="143"/>
      <c r="X361" s="62"/>
      <c r="Y361" s="62"/>
      <c r="Z361" s="143"/>
      <c r="AA361" s="143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78"/>
      <c r="BD361" s="78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</row>
    <row r="362" ht="15.75" customHeight="1">
      <c r="A362" s="62"/>
      <c r="B362" s="79"/>
      <c r="C362" s="62"/>
      <c r="D362" s="62"/>
      <c r="E362" s="74"/>
      <c r="F362" s="62"/>
      <c r="G362" s="62"/>
      <c r="H362" s="62"/>
      <c r="I362" s="79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143"/>
      <c r="V362" s="143"/>
      <c r="W362" s="143"/>
      <c r="X362" s="62"/>
      <c r="Y362" s="62"/>
      <c r="Z362" s="143"/>
      <c r="AA362" s="143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78"/>
      <c r="BD362" s="78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  <c r="BS362" s="62"/>
      <c r="BT362" s="62"/>
      <c r="BU362" s="62"/>
      <c r="BV362" s="62"/>
      <c r="BW362" s="62"/>
      <c r="BX362" s="62"/>
      <c r="BY362" s="62"/>
      <c r="BZ362" s="62"/>
      <c r="CA362" s="62"/>
      <c r="CB362" s="62"/>
    </row>
    <row r="363" ht="15.75" customHeight="1">
      <c r="A363" s="62"/>
      <c r="B363" s="79"/>
      <c r="C363" s="62"/>
      <c r="D363" s="62"/>
      <c r="E363" s="74"/>
      <c r="F363" s="62"/>
      <c r="G363" s="62"/>
      <c r="H363" s="62"/>
      <c r="I363" s="79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143"/>
      <c r="V363" s="143"/>
      <c r="W363" s="143"/>
      <c r="X363" s="62"/>
      <c r="Y363" s="62"/>
      <c r="Z363" s="143"/>
      <c r="AA363" s="143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78"/>
      <c r="BD363" s="78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62"/>
      <c r="BS363" s="62"/>
      <c r="BT363" s="62"/>
      <c r="BU363" s="62"/>
      <c r="BV363" s="62"/>
      <c r="BW363" s="62"/>
      <c r="BX363" s="62"/>
      <c r="BY363" s="62"/>
      <c r="BZ363" s="62"/>
      <c r="CA363" s="62"/>
      <c r="CB363" s="62"/>
    </row>
    <row r="364" ht="15.75" customHeight="1">
      <c r="A364" s="62"/>
      <c r="B364" s="79"/>
      <c r="C364" s="62"/>
      <c r="D364" s="62"/>
      <c r="E364" s="74"/>
      <c r="F364" s="62"/>
      <c r="G364" s="62"/>
      <c r="H364" s="62"/>
      <c r="I364" s="79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143"/>
      <c r="V364" s="143"/>
      <c r="W364" s="143"/>
      <c r="X364" s="62"/>
      <c r="Y364" s="62"/>
      <c r="Z364" s="143"/>
      <c r="AA364" s="143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78"/>
      <c r="BD364" s="78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  <c r="BS364" s="62"/>
      <c r="BT364" s="62"/>
      <c r="BU364" s="62"/>
      <c r="BV364" s="62"/>
      <c r="BW364" s="62"/>
      <c r="BX364" s="62"/>
      <c r="BY364" s="62"/>
      <c r="BZ364" s="62"/>
      <c r="CA364" s="62"/>
      <c r="CB364" s="62"/>
    </row>
    <row r="365" ht="15.75" customHeight="1">
      <c r="A365" s="62"/>
      <c r="B365" s="79"/>
      <c r="C365" s="62"/>
      <c r="D365" s="62"/>
      <c r="E365" s="74"/>
      <c r="F365" s="62"/>
      <c r="G365" s="62"/>
      <c r="H365" s="62"/>
      <c r="I365" s="79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143"/>
      <c r="V365" s="143"/>
      <c r="W365" s="143"/>
      <c r="X365" s="62"/>
      <c r="Y365" s="62"/>
      <c r="Z365" s="143"/>
      <c r="AA365" s="143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78"/>
      <c r="BD365" s="78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62"/>
      <c r="BS365" s="62"/>
      <c r="BT365" s="62"/>
      <c r="BU365" s="62"/>
      <c r="BV365" s="62"/>
      <c r="BW365" s="62"/>
      <c r="BX365" s="62"/>
      <c r="BY365" s="62"/>
      <c r="BZ365" s="62"/>
      <c r="CA365" s="62"/>
      <c r="CB365" s="62"/>
    </row>
    <row r="366" ht="15.75" customHeight="1">
      <c r="A366" s="62"/>
      <c r="B366" s="79"/>
      <c r="C366" s="62"/>
      <c r="D366" s="62"/>
      <c r="E366" s="74"/>
      <c r="F366" s="62"/>
      <c r="G366" s="62"/>
      <c r="H366" s="62"/>
      <c r="I366" s="79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143"/>
      <c r="V366" s="143"/>
      <c r="W366" s="143"/>
      <c r="X366" s="62"/>
      <c r="Y366" s="62"/>
      <c r="Z366" s="143"/>
      <c r="AA366" s="143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78"/>
      <c r="BD366" s="78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  <c r="BS366" s="62"/>
      <c r="BT366" s="62"/>
      <c r="BU366" s="62"/>
      <c r="BV366" s="62"/>
      <c r="BW366" s="62"/>
      <c r="BX366" s="62"/>
      <c r="BY366" s="62"/>
      <c r="BZ366" s="62"/>
      <c r="CA366" s="62"/>
      <c r="CB366" s="62"/>
    </row>
    <row r="367" ht="15.75" customHeight="1">
      <c r="A367" s="62"/>
      <c r="B367" s="79"/>
      <c r="C367" s="62"/>
      <c r="D367" s="62"/>
      <c r="E367" s="74"/>
      <c r="F367" s="62"/>
      <c r="G367" s="62"/>
      <c r="H367" s="62"/>
      <c r="I367" s="79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143"/>
      <c r="V367" s="143"/>
      <c r="W367" s="143"/>
      <c r="X367" s="62"/>
      <c r="Y367" s="62"/>
      <c r="Z367" s="143"/>
      <c r="AA367" s="143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78"/>
      <c r="BD367" s="78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  <c r="BS367" s="62"/>
      <c r="BT367" s="62"/>
      <c r="BU367" s="62"/>
      <c r="BV367" s="62"/>
      <c r="BW367" s="62"/>
      <c r="BX367" s="62"/>
      <c r="BY367" s="62"/>
      <c r="BZ367" s="62"/>
      <c r="CA367" s="62"/>
      <c r="CB367" s="62"/>
    </row>
    <row r="368" ht="15.75" customHeight="1">
      <c r="A368" s="62"/>
      <c r="B368" s="79"/>
      <c r="C368" s="62"/>
      <c r="D368" s="62"/>
      <c r="E368" s="74"/>
      <c r="F368" s="62"/>
      <c r="G368" s="62"/>
      <c r="H368" s="62"/>
      <c r="I368" s="79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143"/>
      <c r="V368" s="143"/>
      <c r="W368" s="143"/>
      <c r="X368" s="62"/>
      <c r="Y368" s="62"/>
      <c r="Z368" s="143"/>
      <c r="AA368" s="143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78"/>
      <c r="BD368" s="78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</row>
    <row r="369" ht="15.75" customHeight="1">
      <c r="A369" s="62"/>
      <c r="B369" s="79"/>
      <c r="C369" s="62"/>
      <c r="D369" s="62"/>
      <c r="E369" s="74"/>
      <c r="F369" s="62"/>
      <c r="G369" s="62"/>
      <c r="H369" s="62"/>
      <c r="I369" s="79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143"/>
      <c r="V369" s="143"/>
      <c r="W369" s="143"/>
      <c r="X369" s="62"/>
      <c r="Y369" s="62"/>
      <c r="Z369" s="143"/>
      <c r="AA369" s="143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78"/>
      <c r="BD369" s="78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</row>
    <row r="370" ht="15.75" customHeight="1">
      <c r="A370" s="62"/>
      <c r="B370" s="79"/>
      <c r="C370" s="62"/>
      <c r="D370" s="62"/>
      <c r="E370" s="74"/>
      <c r="F370" s="62"/>
      <c r="G370" s="62"/>
      <c r="H370" s="62"/>
      <c r="I370" s="79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143"/>
      <c r="V370" s="143"/>
      <c r="W370" s="143"/>
      <c r="X370" s="62"/>
      <c r="Y370" s="62"/>
      <c r="Z370" s="143"/>
      <c r="AA370" s="143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78"/>
      <c r="BD370" s="78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</row>
    <row r="371" ht="15.75" customHeight="1">
      <c r="A371" s="62"/>
      <c r="B371" s="79"/>
      <c r="C371" s="62"/>
      <c r="D371" s="62"/>
      <c r="E371" s="74"/>
      <c r="F371" s="62"/>
      <c r="G371" s="62"/>
      <c r="H371" s="62"/>
      <c r="I371" s="79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143"/>
      <c r="V371" s="143"/>
      <c r="W371" s="143"/>
      <c r="X371" s="62"/>
      <c r="Y371" s="62"/>
      <c r="Z371" s="143"/>
      <c r="AA371" s="143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78"/>
      <c r="BD371" s="78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</row>
    <row r="372" ht="15.75" customHeight="1">
      <c r="A372" s="62"/>
      <c r="B372" s="79"/>
      <c r="C372" s="62"/>
      <c r="D372" s="62"/>
      <c r="E372" s="74"/>
      <c r="F372" s="62"/>
      <c r="G372" s="62"/>
      <c r="H372" s="62"/>
      <c r="I372" s="79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143"/>
      <c r="V372" s="143"/>
      <c r="W372" s="143"/>
      <c r="X372" s="62"/>
      <c r="Y372" s="62"/>
      <c r="Z372" s="143"/>
      <c r="AA372" s="143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78"/>
      <c r="BD372" s="78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</row>
    <row r="373" ht="15.75" customHeight="1">
      <c r="A373" s="62"/>
      <c r="B373" s="79"/>
      <c r="C373" s="62"/>
      <c r="D373" s="62"/>
      <c r="E373" s="74"/>
      <c r="F373" s="62"/>
      <c r="G373" s="62"/>
      <c r="H373" s="62"/>
      <c r="I373" s="79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143"/>
      <c r="V373" s="143"/>
      <c r="W373" s="143"/>
      <c r="X373" s="62"/>
      <c r="Y373" s="62"/>
      <c r="Z373" s="143"/>
      <c r="AA373" s="143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78"/>
      <c r="BD373" s="78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</row>
    <row r="374" ht="15.75" customHeight="1">
      <c r="A374" s="62"/>
      <c r="B374" s="79"/>
      <c r="C374" s="62"/>
      <c r="D374" s="62"/>
      <c r="E374" s="74"/>
      <c r="F374" s="62"/>
      <c r="G374" s="62"/>
      <c r="H374" s="62"/>
      <c r="I374" s="79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143"/>
      <c r="V374" s="143"/>
      <c r="W374" s="143"/>
      <c r="X374" s="62"/>
      <c r="Y374" s="62"/>
      <c r="Z374" s="143"/>
      <c r="AA374" s="143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78"/>
      <c r="BD374" s="78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</row>
    <row r="375" ht="15.75" customHeight="1">
      <c r="A375" s="62"/>
      <c r="B375" s="79"/>
      <c r="C375" s="62"/>
      <c r="D375" s="62"/>
      <c r="E375" s="74"/>
      <c r="F375" s="62"/>
      <c r="G375" s="62"/>
      <c r="H375" s="62"/>
      <c r="I375" s="79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143"/>
      <c r="V375" s="143"/>
      <c r="W375" s="143"/>
      <c r="X375" s="62"/>
      <c r="Y375" s="62"/>
      <c r="Z375" s="143"/>
      <c r="AA375" s="143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78"/>
      <c r="BD375" s="78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  <c r="BS375" s="62"/>
      <c r="BT375" s="62"/>
      <c r="BU375" s="62"/>
      <c r="BV375" s="62"/>
      <c r="BW375" s="62"/>
      <c r="BX375" s="62"/>
      <c r="BY375" s="62"/>
      <c r="BZ375" s="62"/>
      <c r="CA375" s="62"/>
      <c r="CB375" s="62"/>
    </row>
    <row r="376" ht="15.75" customHeight="1">
      <c r="A376" s="62"/>
      <c r="B376" s="79"/>
      <c r="C376" s="62"/>
      <c r="D376" s="62"/>
      <c r="E376" s="74"/>
      <c r="F376" s="62"/>
      <c r="G376" s="62"/>
      <c r="H376" s="62"/>
      <c r="I376" s="79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143"/>
      <c r="V376" s="143"/>
      <c r="W376" s="143"/>
      <c r="X376" s="62"/>
      <c r="Y376" s="62"/>
      <c r="Z376" s="143"/>
      <c r="AA376" s="143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78"/>
      <c r="BD376" s="78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</row>
    <row r="377" ht="15.75" customHeight="1">
      <c r="A377" s="62"/>
      <c r="B377" s="79"/>
      <c r="C377" s="62"/>
      <c r="D377" s="62"/>
      <c r="E377" s="74"/>
      <c r="F377" s="62"/>
      <c r="G377" s="62"/>
      <c r="H377" s="62"/>
      <c r="I377" s="79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143"/>
      <c r="V377" s="143"/>
      <c r="W377" s="143"/>
      <c r="X377" s="62"/>
      <c r="Y377" s="62"/>
      <c r="Z377" s="143"/>
      <c r="AA377" s="143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78"/>
      <c r="BD377" s="78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</row>
    <row r="378" ht="15.75" customHeight="1">
      <c r="A378" s="62"/>
      <c r="B378" s="79"/>
      <c r="C378" s="62"/>
      <c r="D378" s="62"/>
      <c r="E378" s="74"/>
      <c r="F378" s="62"/>
      <c r="G378" s="62"/>
      <c r="H378" s="62"/>
      <c r="I378" s="79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143"/>
      <c r="V378" s="143"/>
      <c r="W378" s="143"/>
      <c r="X378" s="62"/>
      <c r="Y378" s="62"/>
      <c r="Z378" s="143"/>
      <c r="AA378" s="143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78"/>
      <c r="BD378" s="78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</row>
    <row r="379" ht="15.75" customHeight="1">
      <c r="A379" s="62"/>
      <c r="B379" s="79"/>
      <c r="C379" s="62"/>
      <c r="D379" s="62"/>
      <c r="E379" s="74"/>
      <c r="F379" s="62"/>
      <c r="G379" s="62"/>
      <c r="H379" s="62"/>
      <c r="I379" s="79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143"/>
      <c r="V379" s="143"/>
      <c r="W379" s="143"/>
      <c r="X379" s="62"/>
      <c r="Y379" s="62"/>
      <c r="Z379" s="143"/>
      <c r="AA379" s="143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78"/>
      <c r="BD379" s="78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</row>
    <row r="380" ht="15.75" customHeight="1">
      <c r="A380" s="62"/>
      <c r="B380" s="79"/>
      <c r="C380" s="62"/>
      <c r="D380" s="62"/>
      <c r="E380" s="74"/>
      <c r="F380" s="62"/>
      <c r="G380" s="62"/>
      <c r="H380" s="62"/>
      <c r="I380" s="79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143"/>
      <c r="V380" s="143"/>
      <c r="W380" s="143"/>
      <c r="X380" s="62"/>
      <c r="Y380" s="62"/>
      <c r="Z380" s="143"/>
      <c r="AA380" s="143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78"/>
      <c r="BD380" s="78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  <c r="BS380" s="62"/>
      <c r="BT380" s="62"/>
      <c r="BU380" s="62"/>
      <c r="BV380" s="62"/>
      <c r="BW380" s="62"/>
      <c r="BX380" s="62"/>
      <c r="BY380" s="62"/>
      <c r="BZ380" s="62"/>
      <c r="CA380" s="62"/>
      <c r="CB380" s="62"/>
    </row>
    <row r="381" ht="15.75" customHeight="1">
      <c r="A381" s="62"/>
      <c r="B381" s="79"/>
      <c r="C381" s="62"/>
      <c r="D381" s="62"/>
      <c r="E381" s="74"/>
      <c r="F381" s="62"/>
      <c r="G381" s="62"/>
      <c r="H381" s="62"/>
      <c r="I381" s="79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143"/>
      <c r="V381" s="143"/>
      <c r="W381" s="143"/>
      <c r="X381" s="62"/>
      <c r="Y381" s="62"/>
      <c r="Z381" s="143"/>
      <c r="AA381" s="143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78"/>
      <c r="BD381" s="78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62"/>
      <c r="BS381" s="62"/>
      <c r="BT381" s="62"/>
      <c r="BU381" s="62"/>
      <c r="BV381" s="62"/>
      <c r="BW381" s="62"/>
      <c r="BX381" s="62"/>
      <c r="BY381" s="62"/>
      <c r="BZ381" s="62"/>
      <c r="CA381" s="62"/>
      <c r="CB381" s="62"/>
    </row>
    <row r="382" ht="15.75" customHeight="1">
      <c r="A382" s="62"/>
      <c r="B382" s="79"/>
      <c r="C382" s="62"/>
      <c r="D382" s="62"/>
      <c r="E382" s="74"/>
      <c r="F382" s="62"/>
      <c r="G382" s="62"/>
      <c r="H382" s="62"/>
      <c r="I382" s="79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143"/>
      <c r="V382" s="143"/>
      <c r="W382" s="143"/>
      <c r="X382" s="62"/>
      <c r="Y382" s="62"/>
      <c r="Z382" s="143"/>
      <c r="AA382" s="143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78"/>
      <c r="BD382" s="78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</row>
    <row r="383" ht="15.75" customHeight="1">
      <c r="A383" s="62"/>
      <c r="B383" s="79"/>
      <c r="C383" s="62"/>
      <c r="D383" s="62"/>
      <c r="E383" s="74"/>
      <c r="F383" s="62"/>
      <c r="G383" s="62"/>
      <c r="H383" s="62"/>
      <c r="I383" s="79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143"/>
      <c r="V383" s="143"/>
      <c r="W383" s="143"/>
      <c r="X383" s="62"/>
      <c r="Y383" s="62"/>
      <c r="Z383" s="143"/>
      <c r="AA383" s="143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78"/>
      <c r="BD383" s="78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62"/>
      <c r="BS383" s="62"/>
      <c r="BT383" s="62"/>
      <c r="BU383" s="62"/>
      <c r="BV383" s="62"/>
      <c r="BW383" s="62"/>
      <c r="BX383" s="62"/>
      <c r="BY383" s="62"/>
      <c r="BZ383" s="62"/>
      <c r="CA383" s="62"/>
      <c r="CB383" s="62"/>
    </row>
    <row r="384" ht="15.75" customHeight="1">
      <c r="A384" s="62"/>
      <c r="B384" s="79"/>
      <c r="C384" s="62"/>
      <c r="D384" s="62"/>
      <c r="E384" s="74"/>
      <c r="F384" s="62"/>
      <c r="G384" s="62"/>
      <c r="H384" s="62"/>
      <c r="I384" s="79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143"/>
      <c r="V384" s="143"/>
      <c r="W384" s="143"/>
      <c r="X384" s="62"/>
      <c r="Y384" s="62"/>
      <c r="Z384" s="143"/>
      <c r="AA384" s="143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78"/>
      <c r="BD384" s="78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</row>
    <row r="385" ht="15.75" customHeight="1">
      <c r="A385" s="62"/>
      <c r="B385" s="79"/>
      <c r="C385" s="62"/>
      <c r="D385" s="62"/>
      <c r="E385" s="74"/>
      <c r="F385" s="62"/>
      <c r="G385" s="62"/>
      <c r="H385" s="62"/>
      <c r="I385" s="79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143"/>
      <c r="V385" s="143"/>
      <c r="W385" s="143"/>
      <c r="X385" s="62"/>
      <c r="Y385" s="62"/>
      <c r="Z385" s="143"/>
      <c r="AA385" s="143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78"/>
      <c r="BD385" s="78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</row>
    <row r="386" ht="15.75" customHeight="1">
      <c r="A386" s="62"/>
      <c r="B386" s="79"/>
      <c r="C386" s="62"/>
      <c r="D386" s="62"/>
      <c r="E386" s="74"/>
      <c r="F386" s="62"/>
      <c r="G386" s="62"/>
      <c r="H386" s="62"/>
      <c r="I386" s="79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143"/>
      <c r="V386" s="143"/>
      <c r="W386" s="143"/>
      <c r="X386" s="62"/>
      <c r="Y386" s="62"/>
      <c r="Z386" s="143"/>
      <c r="AA386" s="143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78"/>
      <c r="BD386" s="78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  <c r="BS386" s="62"/>
      <c r="BT386" s="62"/>
      <c r="BU386" s="62"/>
      <c r="BV386" s="62"/>
      <c r="BW386" s="62"/>
      <c r="BX386" s="62"/>
      <c r="BY386" s="62"/>
      <c r="BZ386" s="62"/>
      <c r="CA386" s="62"/>
      <c r="CB386" s="62"/>
    </row>
    <row r="387" ht="15.75" customHeight="1">
      <c r="A387" s="62"/>
      <c r="B387" s="79"/>
      <c r="C387" s="62"/>
      <c r="D387" s="62"/>
      <c r="E387" s="74"/>
      <c r="F387" s="62"/>
      <c r="G387" s="62"/>
      <c r="H387" s="62"/>
      <c r="I387" s="79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143"/>
      <c r="V387" s="143"/>
      <c r="W387" s="143"/>
      <c r="X387" s="62"/>
      <c r="Y387" s="62"/>
      <c r="Z387" s="143"/>
      <c r="AA387" s="143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78"/>
      <c r="BD387" s="78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62"/>
      <c r="BS387" s="62"/>
      <c r="BT387" s="62"/>
      <c r="BU387" s="62"/>
      <c r="BV387" s="62"/>
      <c r="BW387" s="62"/>
      <c r="BX387" s="62"/>
      <c r="BY387" s="62"/>
      <c r="BZ387" s="62"/>
      <c r="CA387" s="62"/>
      <c r="CB387" s="62"/>
    </row>
    <row r="388" ht="15.75" customHeight="1">
      <c r="A388" s="62"/>
      <c r="B388" s="79"/>
      <c r="C388" s="62"/>
      <c r="D388" s="62"/>
      <c r="E388" s="74"/>
      <c r="F388" s="62"/>
      <c r="G388" s="62"/>
      <c r="H388" s="62"/>
      <c r="I388" s="79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143"/>
      <c r="V388" s="143"/>
      <c r="W388" s="143"/>
      <c r="X388" s="62"/>
      <c r="Y388" s="62"/>
      <c r="Z388" s="143"/>
      <c r="AA388" s="143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78"/>
      <c r="BD388" s="78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  <c r="BS388" s="62"/>
      <c r="BT388" s="62"/>
      <c r="BU388" s="62"/>
      <c r="BV388" s="62"/>
      <c r="BW388" s="62"/>
      <c r="BX388" s="62"/>
      <c r="BY388" s="62"/>
      <c r="BZ388" s="62"/>
      <c r="CA388" s="62"/>
      <c r="CB388" s="62"/>
    </row>
    <row r="389" ht="15.75" customHeight="1">
      <c r="A389" s="62"/>
      <c r="B389" s="79"/>
      <c r="C389" s="62"/>
      <c r="D389" s="62"/>
      <c r="E389" s="74"/>
      <c r="F389" s="62"/>
      <c r="G389" s="62"/>
      <c r="H389" s="62"/>
      <c r="I389" s="79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143"/>
      <c r="V389" s="143"/>
      <c r="W389" s="143"/>
      <c r="X389" s="62"/>
      <c r="Y389" s="62"/>
      <c r="Z389" s="143"/>
      <c r="AA389" s="143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78"/>
      <c r="BD389" s="78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62"/>
      <c r="BS389" s="62"/>
      <c r="BT389" s="62"/>
      <c r="BU389" s="62"/>
      <c r="BV389" s="62"/>
      <c r="BW389" s="62"/>
      <c r="BX389" s="62"/>
      <c r="BY389" s="62"/>
      <c r="BZ389" s="62"/>
      <c r="CA389" s="62"/>
      <c r="CB389" s="62"/>
    </row>
    <row r="390" ht="15.75" customHeight="1">
      <c r="A390" s="62"/>
      <c r="B390" s="79"/>
      <c r="C390" s="62"/>
      <c r="D390" s="62"/>
      <c r="E390" s="74"/>
      <c r="F390" s="62"/>
      <c r="G390" s="62"/>
      <c r="H390" s="62"/>
      <c r="I390" s="79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143"/>
      <c r="V390" s="143"/>
      <c r="W390" s="143"/>
      <c r="X390" s="62"/>
      <c r="Y390" s="62"/>
      <c r="Z390" s="143"/>
      <c r="AA390" s="143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78"/>
      <c r="BD390" s="78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</row>
    <row r="391" ht="15.75" customHeight="1">
      <c r="A391" s="62"/>
      <c r="B391" s="79"/>
      <c r="C391" s="62"/>
      <c r="D391" s="62"/>
      <c r="E391" s="74"/>
      <c r="F391" s="62"/>
      <c r="G391" s="62"/>
      <c r="H391" s="62"/>
      <c r="I391" s="79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143"/>
      <c r="V391" s="143"/>
      <c r="W391" s="143"/>
      <c r="X391" s="62"/>
      <c r="Y391" s="62"/>
      <c r="Z391" s="143"/>
      <c r="AA391" s="143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78"/>
      <c r="BD391" s="78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</row>
    <row r="392" ht="15.75" customHeight="1">
      <c r="A392" s="62"/>
      <c r="B392" s="79"/>
      <c r="C392" s="62"/>
      <c r="D392" s="62"/>
      <c r="E392" s="74"/>
      <c r="F392" s="62"/>
      <c r="G392" s="62"/>
      <c r="H392" s="62"/>
      <c r="I392" s="79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143"/>
      <c r="V392" s="143"/>
      <c r="W392" s="143"/>
      <c r="X392" s="62"/>
      <c r="Y392" s="62"/>
      <c r="Z392" s="143"/>
      <c r="AA392" s="143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78"/>
      <c r="BD392" s="78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</row>
    <row r="393" ht="15.75" customHeight="1">
      <c r="A393" s="62"/>
      <c r="B393" s="79"/>
      <c r="C393" s="62"/>
      <c r="D393" s="62"/>
      <c r="E393" s="74"/>
      <c r="F393" s="62"/>
      <c r="G393" s="62"/>
      <c r="H393" s="62"/>
      <c r="I393" s="79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143"/>
      <c r="V393" s="143"/>
      <c r="W393" s="143"/>
      <c r="X393" s="62"/>
      <c r="Y393" s="62"/>
      <c r="Z393" s="143"/>
      <c r="AA393" s="143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78"/>
      <c r="BD393" s="78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</row>
    <row r="394" ht="15.75" customHeight="1">
      <c r="A394" s="62"/>
      <c r="B394" s="79"/>
      <c r="C394" s="62"/>
      <c r="D394" s="62"/>
      <c r="E394" s="74"/>
      <c r="F394" s="62"/>
      <c r="G394" s="62"/>
      <c r="H394" s="62"/>
      <c r="I394" s="79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143"/>
      <c r="V394" s="143"/>
      <c r="W394" s="143"/>
      <c r="X394" s="62"/>
      <c r="Y394" s="62"/>
      <c r="Z394" s="143"/>
      <c r="AA394" s="143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78"/>
      <c r="BD394" s="78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</row>
    <row r="395" ht="15.75" customHeight="1">
      <c r="A395" s="62"/>
      <c r="B395" s="79"/>
      <c r="C395" s="62"/>
      <c r="D395" s="62"/>
      <c r="E395" s="74"/>
      <c r="F395" s="62"/>
      <c r="G395" s="62"/>
      <c r="H395" s="62"/>
      <c r="I395" s="79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143"/>
      <c r="V395" s="143"/>
      <c r="W395" s="143"/>
      <c r="X395" s="62"/>
      <c r="Y395" s="62"/>
      <c r="Z395" s="143"/>
      <c r="AA395" s="143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78"/>
      <c r="BD395" s="78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</row>
    <row r="396" ht="15.75" customHeight="1">
      <c r="A396" s="62"/>
      <c r="B396" s="79"/>
      <c r="C396" s="62"/>
      <c r="D396" s="62"/>
      <c r="E396" s="74"/>
      <c r="F396" s="62"/>
      <c r="G396" s="62"/>
      <c r="H396" s="62"/>
      <c r="I396" s="79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143"/>
      <c r="V396" s="143"/>
      <c r="W396" s="143"/>
      <c r="X396" s="62"/>
      <c r="Y396" s="62"/>
      <c r="Z396" s="143"/>
      <c r="AA396" s="143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78"/>
      <c r="BD396" s="78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</row>
    <row r="397" ht="15.75" customHeight="1">
      <c r="A397" s="62"/>
      <c r="B397" s="79"/>
      <c r="C397" s="62"/>
      <c r="D397" s="62"/>
      <c r="E397" s="74"/>
      <c r="F397" s="62"/>
      <c r="G397" s="62"/>
      <c r="H397" s="62"/>
      <c r="I397" s="79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143"/>
      <c r="V397" s="143"/>
      <c r="W397" s="143"/>
      <c r="X397" s="62"/>
      <c r="Y397" s="62"/>
      <c r="Z397" s="143"/>
      <c r="AA397" s="143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78"/>
      <c r="BD397" s="78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</row>
    <row r="398" ht="15.75" customHeight="1">
      <c r="A398" s="62"/>
      <c r="B398" s="79"/>
      <c r="C398" s="62"/>
      <c r="D398" s="62"/>
      <c r="E398" s="74"/>
      <c r="F398" s="62"/>
      <c r="G398" s="62"/>
      <c r="H398" s="62"/>
      <c r="I398" s="79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143"/>
      <c r="V398" s="143"/>
      <c r="W398" s="143"/>
      <c r="X398" s="62"/>
      <c r="Y398" s="62"/>
      <c r="Z398" s="143"/>
      <c r="AA398" s="143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78"/>
      <c r="BD398" s="78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</row>
    <row r="399" ht="15.75" customHeight="1">
      <c r="A399" s="62"/>
      <c r="B399" s="79"/>
      <c r="C399" s="62"/>
      <c r="D399" s="62"/>
      <c r="E399" s="74"/>
      <c r="F399" s="62"/>
      <c r="G399" s="62"/>
      <c r="H399" s="62"/>
      <c r="I399" s="79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143"/>
      <c r="V399" s="143"/>
      <c r="W399" s="143"/>
      <c r="X399" s="62"/>
      <c r="Y399" s="62"/>
      <c r="Z399" s="143"/>
      <c r="AA399" s="143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78"/>
      <c r="BD399" s="78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</row>
    <row r="400" ht="15.75" customHeight="1">
      <c r="A400" s="62"/>
      <c r="B400" s="79"/>
      <c r="C400" s="62"/>
      <c r="D400" s="62"/>
      <c r="E400" s="74"/>
      <c r="F400" s="62"/>
      <c r="G400" s="62"/>
      <c r="H400" s="62"/>
      <c r="I400" s="79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143"/>
      <c r="V400" s="143"/>
      <c r="W400" s="143"/>
      <c r="X400" s="62"/>
      <c r="Y400" s="62"/>
      <c r="Z400" s="143"/>
      <c r="AA400" s="143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78"/>
      <c r="BD400" s="78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</row>
    <row r="401" ht="15.75" customHeight="1">
      <c r="A401" s="62"/>
      <c r="B401" s="79"/>
      <c r="C401" s="62"/>
      <c r="D401" s="62"/>
      <c r="E401" s="74"/>
      <c r="F401" s="62"/>
      <c r="G401" s="62"/>
      <c r="H401" s="62"/>
      <c r="I401" s="79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143"/>
      <c r="V401" s="143"/>
      <c r="W401" s="143"/>
      <c r="X401" s="62"/>
      <c r="Y401" s="62"/>
      <c r="Z401" s="143"/>
      <c r="AA401" s="143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78"/>
      <c r="BD401" s="78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62"/>
      <c r="BS401" s="62"/>
      <c r="BT401" s="62"/>
      <c r="BU401" s="62"/>
      <c r="BV401" s="62"/>
      <c r="BW401" s="62"/>
      <c r="BX401" s="62"/>
      <c r="BY401" s="62"/>
      <c r="BZ401" s="62"/>
      <c r="CA401" s="62"/>
      <c r="CB401" s="62"/>
    </row>
    <row r="402" ht="15.75" customHeight="1">
      <c r="A402" s="62"/>
      <c r="B402" s="79"/>
      <c r="C402" s="62"/>
      <c r="D402" s="62"/>
      <c r="E402" s="74"/>
      <c r="F402" s="62"/>
      <c r="G402" s="62"/>
      <c r="H402" s="62"/>
      <c r="I402" s="79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143"/>
      <c r="V402" s="143"/>
      <c r="W402" s="143"/>
      <c r="X402" s="62"/>
      <c r="Y402" s="62"/>
      <c r="Z402" s="143"/>
      <c r="AA402" s="143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78"/>
      <c r="BD402" s="78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  <c r="BS402" s="62"/>
      <c r="BT402" s="62"/>
      <c r="BU402" s="62"/>
      <c r="BV402" s="62"/>
      <c r="BW402" s="62"/>
      <c r="BX402" s="62"/>
      <c r="BY402" s="62"/>
      <c r="BZ402" s="62"/>
      <c r="CA402" s="62"/>
      <c r="CB402" s="62"/>
    </row>
    <row r="403" ht="15.75" customHeight="1">
      <c r="A403" s="62"/>
      <c r="B403" s="79"/>
      <c r="C403" s="62"/>
      <c r="D403" s="62"/>
      <c r="E403" s="74"/>
      <c r="F403" s="62"/>
      <c r="G403" s="62"/>
      <c r="H403" s="62"/>
      <c r="I403" s="79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143"/>
      <c r="V403" s="143"/>
      <c r="W403" s="143"/>
      <c r="X403" s="62"/>
      <c r="Y403" s="62"/>
      <c r="Z403" s="143"/>
      <c r="AA403" s="143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78"/>
      <c r="BD403" s="78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62"/>
      <c r="BS403" s="62"/>
      <c r="BT403" s="62"/>
      <c r="BU403" s="62"/>
      <c r="BV403" s="62"/>
      <c r="BW403" s="62"/>
      <c r="BX403" s="62"/>
      <c r="BY403" s="62"/>
      <c r="BZ403" s="62"/>
      <c r="CA403" s="62"/>
      <c r="CB403" s="62"/>
    </row>
    <row r="404" ht="15.75" customHeight="1">
      <c r="A404" s="62"/>
      <c r="B404" s="79"/>
      <c r="C404" s="62"/>
      <c r="D404" s="62"/>
      <c r="E404" s="74"/>
      <c r="F404" s="62"/>
      <c r="G404" s="62"/>
      <c r="H404" s="62"/>
      <c r="I404" s="79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143"/>
      <c r="V404" s="143"/>
      <c r="W404" s="143"/>
      <c r="X404" s="62"/>
      <c r="Y404" s="62"/>
      <c r="Z404" s="143"/>
      <c r="AA404" s="143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78"/>
      <c r="BD404" s="78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  <c r="BS404" s="62"/>
      <c r="BT404" s="62"/>
      <c r="BU404" s="62"/>
      <c r="BV404" s="62"/>
      <c r="BW404" s="62"/>
      <c r="BX404" s="62"/>
      <c r="BY404" s="62"/>
      <c r="BZ404" s="62"/>
      <c r="CA404" s="62"/>
      <c r="CB404" s="62"/>
    </row>
    <row r="405" ht="15.75" customHeight="1">
      <c r="A405" s="62"/>
      <c r="B405" s="79"/>
      <c r="C405" s="62"/>
      <c r="D405" s="62"/>
      <c r="E405" s="74"/>
      <c r="F405" s="62"/>
      <c r="G405" s="62"/>
      <c r="H405" s="62"/>
      <c r="I405" s="79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143"/>
      <c r="V405" s="143"/>
      <c r="W405" s="143"/>
      <c r="X405" s="62"/>
      <c r="Y405" s="62"/>
      <c r="Z405" s="143"/>
      <c r="AA405" s="143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78"/>
      <c r="BD405" s="78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  <c r="BS405" s="62"/>
      <c r="BT405" s="62"/>
      <c r="BU405" s="62"/>
      <c r="BV405" s="62"/>
      <c r="BW405" s="62"/>
      <c r="BX405" s="62"/>
      <c r="BY405" s="62"/>
      <c r="BZ405" s="62"/>
      <c r="CA405" s="62"/>
      <c r="CB405" s="62"/>
    </row>
    <row r="406" ht="15.75" customHeight="1">
      <c r="A406" s="62"/>
      <c r="B406" s="79"/>
      <c r="C406" s="62"/>
      <c r="D406" s="62"/>
      <c r="E406" s="74"/>
      <c r="F406" s="62"/>
      <c r="G406" s="62"/>
      <c r="H406" s="62"/>
      <c r="I406" s="79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143"/>
      <c r="V406" s="143"/>
      <c r="W406" s="143"/>
      <c r="X406" s="62"/>
      <c r="Y406" s="62"/>
      <c r="Z406" s="143"/>
      <c r="AA406" s="143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78"/>
      <c r="BD406" s="78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  <c r="BS406" s="62"/>
      <c r="BT406" s="62"/>
      <c r="BU406" s="62"/>
      <c r="BV406" s="62"/>
      <c r="BW406" s="62"/>
      <c r="BX406" s="62"/>
      <c r="BY406" s="62"/>
      <c r="BZ406" s="62"/>
      <c r="CA406" s="62"/>
      <c r="CB406" s="62"/>
    </row>
    <row r="407" ht="15.75" customHeight="1">
      <c r="A407" s="62"/>
      <c r="B407" s="79"/>
      <c r="C407" s="62"/>
      <c r="D407" s="62"/>
      <c r="E407" s="74"/>
      <c r="F407" s="62"/>
      <c r="G407" s="62"/>
      <c r="H407" s="62"/>
      <c r="I407" s="79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143"/>
      <c r="V407" s="143"/>
      <c r="W407" s="143"/>
      <c r="X407" s="62"/>
      <c r="Y407" s="62"/>
      <c r="Z407" s="143"/>
      <c r="AA407" s="143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78"/>
      <c r="BD407" s="78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62"/>
      <c r="BS407" s="62"/>
      <c r="BT407" s="62"/>
      <c r="BU407" s="62"/>
      <c r="BV407" s="62"/>
      <c r="BW407" s="62"/>
      <c r="BX407" s="62"/>
      <c r="BY407" s="62"/>
      <c r="BZ407" s="62"/>
      <c r="CA407" s="62"/>
      <c r="CB407" s="62"/>
    </row>
    <row r="408" ht="15.75" customHeight="1">
      <c r="A408" s="62"/>
      <c r="B408" s="79"/>
      <c r="C408" s="62"/>
      <c r="D408" s="62"/>
      <c r="E408" s="74"/>
      <c r="F408" s="62"/>
      <c r="G408" s="62"/>
      <c r="H408" s="62"/>
      <c r="I408" s="79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143"/>
      <c r="V408" s="143"/>
      <c r="W408" s="143"/>
      <c r="X408" s="62"/>
      <c r="Y408" s="62"/>
      <c r="Z408" s="143"/>
      <c r="AA408" s="143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78"/>
      <c r="BD408" s="78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</row>
    <row r="409" ht="15.75" customHeight="1">
      <c r="A409" s="62"/>
      <c r="B409" s="79"/>
      <c r="C409" s="62"/>
      <c r="D409" s="62"/>
      <c r="E409" s="74"/>
      <c r="F409" s="62"/>
      <c r="G409" s="62"/>
      <c r="H409" s="62"/>
      <c r="I409" s="79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143"/>
      <c r="V409" s="143"/>
      <c r="W409" s="143"/>
      <c r="X409" s="62"/>
      <c r="Y409" s="62"/>
      <c r="Z409" s="143"/>
      <c r="AA409" s="143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78"/>
      <c r="BD409" s="78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</row>
    <row r="410" ht="15.75" customHeight="1">
      <c r="A410" s="62"/>
      <c r="B410" s="79"/>
      <c r="C410" s="62"/>
      <c r="D410" s="62"/>
      <c r="E410" s="74"/>
      <c r="F410" s="62"/>
      <c r="G410" s="62"/>
      <c r="H410" s="62"/>
      <c r="I410" s="79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143"/>
      <c r="V410" s="143"/>
      <c r="W410" s="143"/>
      <c r="X410" s="62"/>
      <c r="Y410" s="62"/>
      <c r="Z410" s="143"/>
      <c r="AA410" s="143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78"/>
      <c r="BD410" s="78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</row>
    <row r="411" ht="15.75" customHeight="1">
      <c r="A411" s="62"/>
      <c r="B411" s="79"/>
      <c r="C411" s="62"/>
      <c r="D411" s="62"/>
      <c r="E411" s="74"/>
      <c r="F411" s="62"/>
      <c r="G411" s="62"/>
      <c r="H411" s="62"/>
      <c r="I411" s="79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143"/>
      <c r="V411" s="143"/>
      <c r="W411" s="143"/>
      <c r="X411" s="62"/>
      <c r="Y411" s="62"/>
      <c r="Z411" s="143"/>
      <c r="AA411" s="143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78"/>
      <c r="BD411" s="78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62"/>
      <c r="BS411" s="62"/>
      <c r="BT411" s="62"/>
      <c r="BU411" s="62"/>
      <c r="BV411" s="62"/>
      <c r="BW411" s="62"/>
      <c r="BX411" s="62"/>
      <c r="BY411" s="62"/>
      <c r="BZ411" s="62"/>
      <c r="CA411" s="62"/>
      <c r="CB411" s="62"/>
    </row>
    <row r="412" ht="15.75" customHeight="1">
      <c r="A412" s="62"/>
      <c r="B412" s="79"/>
      <c r="C412" s="62"/>
      <c r="D412" s="62"/>
      <c r="E412" s="74"/>
      <c r="F412" s="62"/>
      <c r="G412" s="62"/>
      <c r="H412" s="62"/>
      <c r="I412" s="79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143"/>
      <c r="V412" s="143"/>
      <c r="W412" s="143"/>
      <c r="X412" s="62"/>
      <c r="Y412" s="62"/>
      <c r="Z412" s="143"/>
      <c r="AA412" s="143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78"/>
      <c r="BD412" s="78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  <c r="BS412" s="62"/>
      <c r="BT412" s="62"/>
      <c r="BU412" s="62"/>
      <c r="BV412" s="62"/>
      <c r="BW412" s="62"/>
      <c r="BX412" s="62"/>
      <c r="BY412" s="62"/>
      <c r="BZ412" s="62"/>
      <c r="CA412" s="62"/>
      <c r="CB412" s="62"/>
    </row>
    <row r="413" ht="15.75" customHeight="1">
      <c r="A413" s="62"/>
      <c r="B413" s="79"/>
      <c r="C413" s="62"/>
      <c r="D413" s="62"/>
      <c r="E413" s="74"/>
      <c r="F413" s="62"/>
      <c r="G413" s="62"/>
      <c r="H413" s="62"/>
      <c r="I413" s="79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143"/>
      <c r="V413" s="143"/>
      <c r="W413" s="143"/>
      <c r="X413" s="62"/>
      <c r="Y413" s="62"/>
      <c r="Z413" s="143"/>
      <c r="AA413" s="143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78"/>
      <c r="BD413" s="78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62"/>
      <c r="BS413" s="62"/>
      <c r="BT413" s="62"/>
      <c r="BU413" s="62"/>
      <c r="BV413" s="62"/>
      <c r="BW413" s="62"/>
      <c r="BX413" s="62"/>
      <c r="BY413" s="62"/>
      <c r="BZ413" s="62"/>
      <c r="CA413" s="62"/>
      <c r="CB413" s="62"/>
    </row>
    <row r="414" ht="15.75" customHeight="1">
      <c r="A414" s="62"/>
      <c r="B414" s="79"/>
      <c r="C414" s="62"/>
      <c r="D414" s="62"/>
      <c r="E414" s="74"/>
      <c r="F414" s="62"/>
      <c r="G414" s="62"/>
      <c r="H414" s="62"/>
      <c r="I414" s="79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143"/>
      <c r="V414" s="143"/>
      <c r="W414" s="143"/>
      <c r="X414" s="62"/>
      <c r="Y414" s="62"/>
      <c r="Z414" s="143"/>
      <c r="AA414" s="143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78"/>
      <c r="BD414" s="78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  <c r="BS414" s="62"/>
      <c r="BT414" s="62"/>
      <c r="BU414" s="62"/>
      <c r="BV414" s="62"/>
      <c r="BW414" s="62"/>
      <c r="BX414" s="62"/>
      <c r="BY414" s="62"/>
      <c r="BZ414" s="62"/>
      <c r="CA414" s="62"/>
      <c r="CB414" s="62"/>
    </row>
    <row r="415" ht="15.75" customHeight="1">
      <c r="A415" s="62"/>
      <c r="B415" s="79"/>
      <c r="C415" s="62"/>
      <c r="D415" s="62"/>
      <c r="E415" s="74"/>
      <c r="F415" s="62"/>
      <c r="G415" s="62"/>
      <c r="H415" s="62"/>
      <c r="I415" s="79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143"/>
      <c r="V415" s="143"/>
      <c r="W415" s="143"/>
      <c r="X415" s="62"/>
      <c r="Y415" s="62"/>
      <c r="Z415" s="143"/>
      <c r="AA415" s="143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78"/>
      <c r="BD415" s="78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</row>
    <row r="416" ht="15.75" customHeight="1">
      <c r="A416" s="62"/>
      <c r="B416" s="79"/>
      <c r="C416" s="62"/>
      <c r="D416" s="62"/>
      <c r="E416" s="74"/>
      <c r="F416" s="62"/>
      <c r="G416" s="62"/>
      <c r="H416" s="62"/>
      <c r="I416" s="79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143"/>
      <c r="V416" s="143"/>
      <c r="W416" s="143"/>
      <c r="X416" s="62"/>
      <c r="Y416" s="62"/>
      <c r="Z416" s="143"/>
      <c r="AA416" s="143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78"/>
      <c r="BD416" s="78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</row>
    <row r="417" ht="15.75" customHeight="1">
      <c r="A417" s="62"/>
      <c r="B417" s="79"/>
      <c r="C417" s="62"/>
      <c r="D417" s="62"/>
      <c r="E417" s="74"/>
      <c r="F417" s="62"/>
      <c r="G417" s="62"/>
      <c r="H417" s="62"/>
      <c r="I417" s="79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143"/>
      <c r="V417" s="143"/>
      <c r="W417" s="143"/>
      <c r="X417" s="62"/>
      <c r="Y417" s="62"/>
      <c r="Z417" s="143"/>
      <c r="AA417" s="143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78"/>
      <c r="BD417" s="78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</row>
    <row r="418" ht="15.75" customHeight="1">
      <c r="A418" s="62"/>
      <c r="B418" s="79"/>
      <c r="C418" s="62"/>
      <c r="D418" s="62"/>
      <c r="E418" s="74"/>
      <c r="F418" s="62"/>
      <c r="G418" s="62"/>
      <c r="H418" s="62"/>
      <c r="I418" s="79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143"/>
      <c r="V418" s="143"/>
      <c r="W418" s="143"/>
      <c r="X418" s="62"/>
      <c r="Y418" s="62"/>
      <c r="Z418" s="143"/>
      <c r="AA418" s="143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78"/>
      <c r="BD418" s="78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  <c r="BS418" s="62"/>
      <c r="BT418" s="62"/>
      <c r="BU418" s="62"/>
      <c r="BV418" s="62"/>
      <c r="BW418" s="62"/>
      <c r="BX418" s="62"/>
      <c r="BY418" s="62"/>
      <c r="BZ418" s="62"/>
      <c r="CA418" s="62"/>
      <c r="CB418" s="62"/>
    </row>
    <row r="419" ht="15.75" customHeight="1">
      <c r="A419" s="62"/>
      <c r="B419" s="79"/>
      <c r="C419" s="62"/>
      <c r="D419" s="62"/>
      <c r="E419" s="74"/>
      <c r="F419" s="62"/>
      <c r="G419" s="62"/>
      <c r="H419" s="62"/>
      <c r="I419" s="79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143"/>
      <c r="V419" s="143"/>
      <c r="W419" s="143"/>
      <c r="X419" s="62"/>
      <c r="Y419" s="62"/>
      <c r="Z419" s="143"/>
      <c r="AA419" s="143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78"/>
      <c r="BD419" s="78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62"/>
      <c r="BS419" s="62"/>
      <c r="BT419" s="62"/>
      <c r="BU419" s="62"/>
      <c r="BV419" s="62"/>
      <c r="BW419" s="62"/>
      <c r="BX419" s="62"/>
      <c r="BY419" s="62"/>
      <c r="BZ419" s="62"/>
      <c r="CA419" s="62"/>
      <c r="CB419" s="62"/>
    </row>
    <row r="420" ht="15.75" customHeight="1">
      <c r="A420" s="62"/>
      <c r="B420" s="79"/>
      <c r="C420" s="62"/>
      <c r="D420" s="62"/>
      <c r="E420" s="74"/>
      <c r="F420" s="62"/>
      <c r="G420" s="62"/>
      <c r="H420" s="62"/>
      <c r="I420" s="79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143"/>
      <c r="V420" s="143"/>
      <c r="W420" s="143"/>
      <c r="X420" s="62"/>
      <c r="Y420" s="62"/>
      <c r="Z420" s="143"/>
      <c r="AA420" s="143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78"/>
      <c r="BD420" s="78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  <c r="BS420" s="62"/>
      <c r="BT420" s="62"/>
      <c r="BU420" s="62"/>
      <c r="BV420" s="62"/>
      <c r="BW420" s="62"/>
      <c r="BX420" s="62"/>
      <c r="BY420" s="62"/>
      <c r="BZ420" s="62"/>
      <c r="CA420" s="62"/>
      <c r="CB420" s="62"/>
    </row>
    <row r="421" ht="15.75" customHeight="1">
      <c r="A421" s="62"/>
      <c r="B421" s="79"/>
      <c r="C421" s="62"/>
      <c r="D421" s="62"/>
      <c r="E421" s="74"/>
      <c r="F421" s="62"/>
      <c r="G421" s="62"/>
      <c r="H421" s="62"/>
      <c r="I421" s="79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143"/>
      <c r="V421" s="143"/>
      <c r="W421" s="143"/>
      <c r="X421" s="62"/>
      <c r="Y421" s="62"/>
      <c r="Z421" s="143"/>
      <c r="AA421" s="143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78"/>
      <c r="BD421" s="78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  <c r="BS421" s="62"/>
      <c r="BT421" s="62"/>
      <c r="BU421" s="62"/>
      <c r="BV421" s="62"/>
      <c r="BW421" s="62"/>
      <c r="BX421" s="62"/>
      <c r="BY421" s="62"/>
      <c r="BZ421" s="62"/>
      <c r="CA421" s="62"/>
      <c r="CB421" s="62"/>
    </row>
    <row r="422" ht="15.75" customHeight="1">
      <c r="A422" s="62"/>
      <c r="B422" s="79"/>
      <c r="C422" s="62"/>
      <c r="D422" s="62"/>
      <c r="E422" s="74"/>
      <c r="F422" s="62"/>
      <c r="G422" s="62"/>
      <c r="H422" s="62"/>
      <c r="I422" s="79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143"/>
      <c r="V422" s="143"/>
      <c r="W422" s="143"/>
      <c r="X422" s="62"/>
      <c r="Y422" s="62"/>
      <c r="Z422" s="143"/>
      <c r="AA422" s="143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78"/>
      <c r="BD422" s="78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2"/>
      <c r="CA422" s="62"/>
      <c r="CB422" s="62"/>
    </row>
    <row r="423" ht="15.75" customHeight="1">
      <c r="A423" s="62"/>
      <c r="B423" s="79"/>
      <c r="C423" s="62"/>
      <c r="D423" s="62"/>
      <c r="E423" s="74"/>
      <c r="F423" s="62"/>
      <c r="G423" s="62"/>
      <c r="H423" s="62"/>
      <c r="I423" s="79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143"/>
      <c r="V423" s="143"/>
      <c r="W423" s="143"/>
      <c r="X423" s="62"/>
      <c r="Y423" s="62"/>
      <c r="Z423" s="143"/>
      <c r="AA423" s="143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78"/>
      <c r="BD423" s="78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62"/>
      <c r="BS423" s="62"/>
      <c r="BT423" s="62"/>
      <c r="BU423" s="62"/>
      <c r="BV423" s="62"/>
      <c r="BW423" s="62"/>
      <c r="BX423" s="62"/>
      <c r="BY423" s="62"/>
      <c r="BZ423" s="62"/>
      <c r="CA423" s="62"/>
      <c r="CB423" s="62"/>
    </row>
    <row r="424" ht="15.75" customHeight="1">
      <c r="A424" s="62"/>
      <c r="B424" s="79"/>
      <c r="C424" s="62"/>
      <c r="D424" s="62"/>
      <c r="E424" s="74"/>
      <c r="F424" s="62"/>
      <c r="G424" s="62"/>
      <c r="H424" s="62"/>
      <c r="I424" s="79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143"/>
      <c r="V424" s="143"/>
      <c r="W424" s="143"/>
      <c r="X424" s="62"/>
      <c r="Y424" s="62"/>
      <c r="Z424" s="143"/>
      <c r="AA424" s="143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78"/>
      <c r="BD424" s="78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  <c r="BS424" s="62"/>
      <c r="BT424" s="62"/>
      <c r="BU424" s="62"/>
      <c r="BV424" s="62"/>
      <c r="BW424" s="62"/>
      <c r="BX424" s="62"/>
      <c r="BY424" s="62"/>
      <c r="BZ424" s="62"/>
      <c r="CA424" s="62"/>
      <c r="CB424" s="62"/>
    </row>
    <row r="425" ht="15.75" customHeight="1">
      <c r="A425" s="62"/>
      <c r="B425" s="79"/>
      <c r="C425" s="62"/>
      <c r="D425" s="62"/>
      <c r="E425" s="74"/>
      <c r="F425" s="62"/>
      <c r="G425" s="62"/>
      <c r="H425" s="62"/>
      <c r="I425" s="79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143"/>
      <c r="V425" s="143"/>
      <c r="W425" s="143"/>
      <c r="X425" s="62"/>
      <c r="Y425" s="62"/>
      <c r="Z425" s="143"/>
      <c r="AA425" s="143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78"/>
      <c r="BD425" s="78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62"/>
      <c r="BS425" s="62"/>
      <c r="BT425" s="62"/>
      <c r="BU425" s="62"/>
      <c r="BV425" s="62"/>
      <c r="BW425" s="62"/>
      <c r="BX425" s="62"/>
      <c r="BY425" s="62"/>
      <c r="BZ425" s="62"/>
      <c r="CA425" s="62"/>
      <c r="CB425" s="62"/>
    </row>
    <row r="426" ht="15.75" customHeight="1">
      <c r="A426" s="62"/>
      <c r="B426" s="79"/>
      <c r="C426" s="62"/>
      <c r="D426" s="62"/>
      <c r="E426" s="74"/>
      <c r="F426" s="62"/>
      <c r="G426" s="62"/>
      <c r="H426" s="62"/>
      <c r="I426" s="79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143"/>
      <c r="V426" s="143"/>
      <c r="W426" s="143"/>
      <c r="X426" s="62"/>
      <c r="Y426" s="62"/>
      <c r="Z426" s="143"/>
      <c r="AA426" s="143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78"/>
      <c r="BD426" s="78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  <c r="BS426" s="62"/>
      <c r="BT426" s="62"/>
      <c r="BU426" s="62"/>
      <c r="BV426" s="62"/>
      <c r="BW426" s="62"/>
      <c r="BX426" s="62"/>
      <c r="BY426" s="62"/>
      <c r="BZ426" s="62"/>
      <c r="CA426" s="62"/>
      <c r="CB426" s="62"/>
    </row>
    <row r="427" ht="15.75" customHeight="1">
      <c r="A427" s="62"/>
      <c r="B427" s="79"/>
      <c r="C427" s="62"/>
      <c r="D427" s="62"/>
      <c r="E427" s="74"/>
      <c r="F427" s="62"/>
      <c r="G427" s="62"/>
      <c r="H427" s="62"/>
      <c r="I427" s="79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143"/>
      <c r="V427" s="143"/>
      <c r="W427" s="143"/>
      <c r="X427" s="62"/>
      <c r="Y427" s="62"/>
      <c r="Z427" s="143"/>
      <c r="AA427" s="143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78"/>
      <c r="BD427" s="78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62"/>
      <c r="BS427" s="62"/>
      <c r="BT427" s="62"/>
      <c r="BU427" s="62"/>
      <c r="BV427" s="62"/>
      <c r="BW427" s="62"/>
      <c r="BX427" s="62"/>
      <c r="BY427" s="62"/>
      <c r="BZ427" s="62"/>
      <c r="CA427" s="62"/>
      <c r="CB427" s="62"/>
    </row>
    <row r="428" ht="15.75" customHeight="1">
      <c r="A428" s="62"/>
      <c r="B428" s="79"/>
      <c r="C428" s="62"/>
      <c r="D428" s="62"/>
      <c r="E428" s="74"/>
      <c r="F428" s="62"/>
      <c r="G428" s="62"/>
      <c r="H428" s="62"/>
      <c r="I428" s="79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143"/>
      <c r="V428" s="143"/>
      <c r="W428" s="143"/>
      <c r="X428" s="62"/>
      <c r="Y428" s="62"/>
      <c r="Z428" s="143"/>
      <c r="AA428" s="143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78"/>
      <c r="BD428" s="78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</row>
    <row r="429" ht="15.75" customHeight="1">
      <c r="A429" s="62"/>
      <c r="B429" s="79"/>
      <c r="C429" s="62"/>
      <c r="D429" s="62"/>
      <c r="E429" s="74"/>
      <c r="F429" s="62"/>
      <c r="G429" s="62"/>
      <c r="H429" s="62"/>
      <c r="I429" s="79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143"/>
      <c r="V429" s="143"/>
      <c r="W429" s="143"/>
      <c r="X429" s="62"/>
      <c r="Y429" s="62"/>
      <c r="Z429" s="143"/>
      <c r="AA429" s="143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78"/>
      <c r="BD429" s="78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</row>
    <row r="430" ht="15.75" customHeight="1">
      <c r="A430" s="62"/>
      <c r="B430" s="79"/>
      <c r="C430" s="62"/>
      <c r="D430" s="62"/>
      <c r="E430" s="74"/>
      <c r="F430" s="62"/>
      <c r="G430" s="62"/>
      <c r="H430" s="62"/>
      <c r="I430" s="79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143"/>
      <c r="V430" s="143"/>
      <c r="W430" s="143"/>
      <c r="X430" s="62"/>
      <c r="Y430" s="62"/>
      <c r="Z430" s="143"/>
      <c r="AA430" s="143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78"/>
      <c r="BD430" s="78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</row>
    <row r="431" ht="15.75" customHeight="1">
      <c r="A431" s="62"/>
      <c r="B431" s="79"/>
      <c r="C431" s="62"/>
      <c r="D431" s="62"/>
      <c r="E431" s="74"/>
      <c r="F431" s="62"/>
      <c r="G431" s="62"/>
      <c r="H431" s="62"/>
      <c r="I431" s="79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143"/>
      <c r="V431" s="143"/>
      <c r="W431" s="143"/>
      <c r="X431" s="62"/>
      <c r="Y431" s="62"/>
      <c r="Z431" s="143"/>
      <c r="AA431" s="143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78"/>
      <c r="BD431" s="78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</row>
    <row r="432" ht="15.75" customHeight="1">
      <c r="A432" s="62"/>
      <c r="B432" s="79"/>
      <c r="C432" s="62"/>
      <c r="D432" s="62"/>
      <c r="E432" s="74"/>
      <c r="F432" s="62"/>
      <c r="G432" s="62"/>
      <c r="H432" s="62"/>
      <c r="I432" s="79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143"/>
      <c r="V432" s="143"/>
      <c r="W432" s="143"/>
      <c r="X432" s="62"/>
      <c r="Y432" s="62"/>
      <c r="Z432" s="143"/>
      <c r="AA432" s="143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78"/>
      <c r="BD432" s="78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</row>
    <row r="433" ht="15.75" customHeight="1">
      <c r="A433" s="62"/>
      <c r="B433" s="79"/>
      <c r="C433" s="62"/>
      <c r="D433" s="62"/>
      <c r="E433" s="74"/>
      <c r="F433" s="62"/>
      <c r="G433" s="62"/>
      <c r="H433" s="62"/>
      <c r="I433" s="79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143"/>
      <c r="V433" s="143"/>
      <c r="W433" s="143"/>
      <c r="X433" s="62"/>
      <c r="Y433" s="62"/>
      <c r="Z433" s="143"/>
      <c r="AA433" s="143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78"/>
      <c r="BD433" s="78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</row>
    <row r="434" ht="15.75" customHeight="1">
      <c r="A434" s="62"/>
      <c r="B434" s="79"/>
      <c r="C434" s="62"/>
      <c r="D434" s="62"/>
      <c r="E434" s="74"/>
      <c r="F434" s="62"/>
      <c r="G434" s="62"/>
      <c r="H434" s="62"/>
      <c r="I434" s="79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143"/>
      <c r="V434" s="143"/>
      <c r="W434" s="143"/>
      <c r="X434" s="62"/>
      <c r="Y434" s="62"/>
      <c r="Z434" s="143"/>
      <c r="AA434" s="143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78"/>
      <c r="BD434" s="78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</row>
    <row r="435" ht="15.75" customHeight="1">
      <c r="A435" s="62"/>
      <c r="B435" s="79"/>
      <c r="C435" s="62"/>
      <c r="D435" s="62"/>
      <c r="E435" s="74"/>
      <c r="F435" s="62"/>
      <c r="G435" s="62"/>
      <c r="H435" s="62"/>
      <c r="I435" s="79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143"/>
      <c r="V435" s="143"/>
      <c r="W435" s="143"/>
      <c r="X435" s="62"/>
      <c r="Y435" s="62"/>
      <c r="Z435" s="143"/>
      <c r="AA435" s="143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78"/>
      <c r="BD435" s="78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</row>
    <row r="436" ht="15.75" customHeight="1">
      <c r="A436" s="62"/>
      <c r="B436" s="79"/>
      <c r="C436" s="62"/>
      <c r="D436" s="62"/>
      <c r="E436" s="74"/>
      <c r="F436" s="62"/>
      <c r="G436" s="62"/>
      <c r="H436" s="62"/>
      <c r="I436" s="79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143"/>
      <c r="V436" s="143"/>
      <c r="W436" s="143"/>
      <c r="X436" s="62"/>
      <c r="Y436" s="62"/>
      <c r="Z436" s="143"/>
      <c r="AA436" s="143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78"/>
      <c r="BD436" s="78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</row>
    <row r="437" ht="15.75" customHeight="1">
      <c r="A437" s="62"/>
      <c r="B437" s="79"/>
      <c r="C437" s="62"/>
      <c r="D437" s="62"/>
      <c r="E437" s="74"/>
      <c r="F437" s="62"/>
      <c r="G437" s="62"/>
      <c r="H437" s="62"/>
      <c r="I437" s="79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143"/>
      <c r="V437" s="143"/>
      <c r="W437" s="143"/>
      <c r="X437" s="62"/>
      <c r="Y437" s="62"/>
      <c r="Z437" s="143"/>
      <c r="AA437" s="143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78"/>
      <c r="BD437" s="78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</row>
    <row r="438" ht="15.75" customHeight="1">
      <c r="A438" s="62"/>
      <c r="B438" s="79"/>
      <c r="C438" s="62"/>
      <c r="D438" s="62"/>
      <c r="E438" s="74"/>
      <c r="F438" s="62"/>
      <c r="G438" s="62"/>
      <c r="H438" s="62"/>
      <c r="I438" s="79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143"/>
      <c r="V438" s="143"/>
      <c r="W438" s="143"/>
      <c r="X438" s="62"/>
      <c r="Y438" s="62"/>
      <c r="Z438" s="143"/>
      <c r="AA438" s="143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78"/>
      <c r="BD438" s="78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  <c r="BS438" s="62"/>
      <c r="BT438" s="62"/>
      <c r="BU438" s="62"/>
      <c r="BV438" s="62"/>
      <c r="BW438" s="62"/>
      <c r="BX438" s="62"/>
      <c r="BY438" s="62"/>
      <c r="BZ438" s="62"/>
      <c r="CA438" s="62"/>
      <c r="CB438" s="62"/>
    </row>
    <row r="439" ht="15.75" customHeight="1">
      <c r="A439" s="62"/>
      <c r="B439" s="79"/>
      <c r="C439" s="62"/>
      <c r="D439" s="62"/>
      <c r="E439" s="74"/>
      <c r="F439" s="62"/>
      <c r="G439" s="62"/>
      <c r="H439" s="62"/>
      <c r="I439" s="79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143"/>
      <c r="V439" s="143"/>
      <c r="W439" s="143"/>
      <c r="X439" s="62"/>
      <c r="Y439" s="62"/>
      <c r="Z439" s="143"/>
      <c r="AA439" s="143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78"/>
      <c r="BD439" s="78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62"/>
      <c r="BS439" s="62"/>
      <c r="BT439" s="62"/>
      <c r="BU439" s="62"/>
      <c r="BV439" s="62"/>
      <c r="BW439" s="62"/>
      <c r="BX439" s="62"/>
      <c r="BY439" s="62"/>
      <c r="BZ439" s="62"/>
      <c r="CA439" s="62"/>
      <c r="CB439" s="62"/>
    </row>
    <row r="440" ht="15.75" customHeight="1">
      <c r="A440" s="62"/>
      <c r="B440" s="79"/>
      <c r="C440" s="62"/>
      <c r="D440" s="62"/>
      <c r="E440" s="74"/>
      <c r="F440" s="62"/>
      <c r="G440" s="62"/>
      <c r="H440" s="62"/>
      <c r="I440" s="79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143"/>
      <c r="V440" s="143"/>
      <c r="W440" s="143"/>
      <c r="X440" s="62"/>
      <c r="Y440" s="62"/>
      <c r="Z440" s="143"/>
      <c r="AA440" s="143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78"/>
      <c r="BD440" s="78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  <c r="BS440" s="62"/>
      <c r="BT440" s="62"/>
      <c r="BU440" s="62"/>
      <c r="BV440" s="62"/>
      <c r="BW440" s="62"/>
      <c r="BX440" s="62"/>
      <c r="BY440" s="62"/>
      <c r="BZ440" s="62"/>
      <c r="CA440" s="62"/>
      <c r="CB440" s="62"/>
    </row>
    <row r="441" ht="15.75" customHeight="1">
      <c r="A441" s="62"/>
      <c r="B441" s="79"/>
      <c r="C441" s="62"/>
      <c r="D441" s="62"/>
      <c r="E441" s="74"/>
      <c r="F441" s="62"/>
      <c r="G441" s="62"/>
      <c r="H441" s="62"/>
      <c r="I441" s="79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143"/>
      <c r="V441" s="143"/>
      <c r="W441" s="143"/>
      <c r="X441" s="62"/>
      <c r="Y441" s="62"/>
      <c r="Z441" s="143"/>
      <c r="AA441" s="143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78"/>
      <c r="BD441" s="78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62"/>
      <c r="BS441" s="62"/>
      <c r="BT441" s="62"/>
      <c r="BU441" s="62"/>
      <c r="BV441" s="62"/>
      <c r="BW441" s="62"/>
      <c r="BX441" s="62"/>
      <c r="BY441" s="62"/>
      <c r="BZ441" s="62"/>
      <c r="CA441" s="62"/>
      <c r="CB441" s="62"/>
    </row>
    <row r="442" ht="15.75" customHeight="1">
      <c r="A442" s="62"/>
      <c r="B442" s="79"/>
      <c r="C442" s="62"/>
      <c r="D442" s="62"/>
      <c r="E442" s="74"/>
      <c r="F442" s="62"/>
      <c r="G442" s="62"/>
      <c r="H442" s="62"/>
      <c r="I442" s="79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143"/>
      <c r="V442" s="143"/>
      <c r="W442" s="143"/>
      <c r="X442" s="62"/>
      <c r="Y442" s="62"/>
      <c r="Z442" s="143"/>
      <c r="AA442" s="143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78"/>
      <c r="BD442" s="78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  <c r="BS442" s="62"/>
      <c r="BT442" s="62"/>
      <c r="BU442" s="62"/>
      <c r="BV442" s="62"/>
      <c r="BW442" s="62"/>
      <c r="BX442" s="62"/>
      <c r="BY442" s="62"/>
      <c r="BZ442" s="62"/>
      <c r="CA442" s="62"/>
      <c r="CB442" s="62"/>
    </row>
    <row r="443" ht="15.75" customHeight="1">
      <c r="A443" s="62"/>
      <c r="B443" s="79"/>
      <c r="C443" s="62"/>
      <c r="D443" s="62"/>
      <c r="E443" s="74"/>
      <c r="F443" s="62"/>
      <c r="G443" s="62"/>
      <c r="H443" s="62"/>
      <c r="I443" s="79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143"/>
      <c r="V443" s="143"/>
      <c r="W443" s="143"/>
      <c r="X443" s="62"/>
      <c r="Y443" s="62"/>
      <c r="Z443" s="143"/>
      <c r="AA443" s="143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78"/>
      <c r="BD443" s="78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62"/>
      <c r="BS443" s="62"/>
      <c r="BT443" s="62"/>
      <c r="BU443" s="62"/>
      <c r="BV443" s="62"/>
      <c r="BW443" s="62"/>
      <c r="BX443" s="62"/>
      <c r="BY443" s="62"/>
      <c r="BZ443" s="62"/>
      <c r="CA443" s="62"/>
      <c r="CB443" s="62"/>
    </row>
    <row r="444" ht="15.75" customHeight="1">
      <c r="A444" s="62"/>
      <c r="B444" s="79"/>
      <c r="C444" s="62"/>
      <c r="D444" s="62"/>
      <c r="E444" s="74"/>
      <c r="F444" s="62"/>
      <c r="G444" s="62"/>
      <c r="H444" s="62"/>
      <c r="I444" s="79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143"/>
      <c r="V444" s="143"/>
      <c r="W444" s="143"/>
      <c r="X444" s="62"/>
      <c r="Y444" s="62"/>
      <c r="Z444" s="143"/>
      <c r="AA444" s="143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78"/>
      <c r="BD444" s="78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</row>
    <row r="445" ht="15.75" customHeight="1">
      <c r="A445" s="62"/>
      <c r="B445" s="79"/>
      <c r="C445" s="62"/>
      <c r="D445" s="62"/>
      <c r="E445" s="74"/>
      <c r="F445" s="62"/>
      <c r="G445" s="62"/>
      <c r="H445" s="62"/>
      <c r="I445" s="79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143"/>
      <c r="V445" s="143"/>
      <c r="W445" s="143"/>
      <c r="X445" s="62"/>
      <c r="Y445" s="62"/>
      <c r="Z445" s="143"/>
      <c r="AA445" s="143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78"/>
      <c r="BD445" s="78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62"/>
      <c r="BS445" s="62"/>
      <c r="BT445" s="62"/>
      <c r="BU445" s="62"/>
      <c r="BV445" s="62"/>
      <c r="BW445" s="62"/>
      <c r="BX445" s="62"/>
      <c r="BY445" s="62"/>
      <c r="BZ445" s="62"/>
      <c r="CA445" s="62"/>
      <c r="CB445" s="62"/>
    </row>
    <row r="446" ht="15.75" customHeight="1">
      <c r="A446" s="62"/>
      <c r="B446" s="79"/>
      <c r="C446" s="62"/>
      <c r="D446" s="62"/>
      <c r="E446" s="74"/>
      <c r="F446" s="62"/>
      <c r="G446" s="62"/>
      <c r="H446" s="62"/>
      <c r="I446" s="79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143"/>
      <c r="V446" s="143"/>
      <c r="W446" s="143"/>
      <c r="X446" s="62"/>
      <c r="Y446" s="62"/>
      <c r="Z446" s="143"/>
      <c r="AA446" s="143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78"/>
      <c r="BD446" s="78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</row>
    <row r="447" ht="15.75" customHeight="1">
      <c r="A447" s="62"/>
      <c r="B447" s="79"/>
      <c r="C447" s="62"/>
      <c r="D447" s="62"/>
      <c r="E447" s="74"/>
      <c r="F447" s="62"/>
      <c r="G447" s="62"/>
      <c r="H447" s="62"/>
      <c r="I447" s="79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143"/>
      <c r="V447" s="143"/>
      <c r="W447" s="143"/>
      <c r="X447" s="62"/>
      <c r="Y447" s="62"/>
      <c r="Z447" s="143"/>
      <c r="AA447" s="143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78"/>
      <c r="BD447" s="78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62"/>
      <c r="BS447" s="62"/>
      <c r="BT447" s="62"/>
      <c r="BU447" s="62"/>
      <c r="BV447" s="62"/>
      <c r="BW447" s="62"/>
      <c r="BX447" s="62"/>
      <c r="BY447" s="62"/>
      <c r="BZ447" s="62"/>
      <c r="CA447" s="62"/>
      <c r="CB447" s="62"/>
    </row>
    <row r="448" ht="15.75" customHeight="1">
      <c r="A448" s="62"/>
      <c r="B448" s="79"/>
      <c r="C448" s="62"/>
      <c r="D448" s="62"/>
      <c r="E448" s="74"/>
      <c r="F448" s="62"/>
      <c r="G448" s="62"/>
      <c r="H448" s="62"/>
      <c r="I448" s="79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143"/>
      <c r="V448" s="143"/>
      <c r="W448" s="143"/>
      <c r="X448" s="62"/>
      <c r="Y448" s="62"/>
      <c r="Z448" s="143"/>
      <c r="AA448" s="143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78"/>
      <c r="BD448" s="78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</row>
    <row r="449" ht="15.75" customHeight="1">
      <c r="A449" s="62"/>
      <c r="B449" s="79"/>
      <c r="C449" s="62"/>
      <c r="D449" s="62"/>
      <c r="E449" s="74"/>
      <c r="F449" s="62"/>
      <c r="G449" s="62"/>
      <c r="H449" s="62"/>
      <c r="I449" s="79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143"/>
      <c r="V449" s="143"/>
      <c r="W449" s="143"/>
      <c r="X449" s="62"/>
      <c r="Y449" s="62"/>
      <c r="Z449" s="143"/>
      <c r="AA449" s="143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78"/>
      <c r="BD449" s="78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62"/>
      <c r="BS449" s="62"/>
      <c r="BT449" s="62"/>
      <c r="BU449" s="62"/>
      <c r="BV449" s="62"/>
      <c r="BW449" s="62"/>
      <c r="BX449" s="62"/>
      <c r="BY449" s="62"/>
      <c r="BZ449" s="62"/>
      <c r="CA449" s="62"/>
      <c r="CB449" s="62"/>
    </row>
    <row r="450" ht="15.75" customHeight="1">
      <c r="A450" s="62"/>
      <c r="B450" s="79"/>
      <c r="C450" s="62"/>
      <c r="D450" s="62"/>
      <c r="E450" s="74"/>
      <c r="F450" s="62"/>
      <c r="G450" s="62"/>
      <c r="H450" s="62"/>
      <c r="I450" s="79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143"/>
      <c r="V450" s="143"/>
      <c r="W450" s="143"/>
      <c r="X450" s="62"/>
      <c r="Y450" s="62"/>
      <c r="Z450" s="143"/>
      <c r="AA450" s="143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78"/>
      <c r="BD450" s="78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  <c r="BS450" s="62"/>
      <c r="BT450" s="62"/>
      <c r="BU450" s="62"/>
      <c r="BV450" s="62"/>
      <c r="BW450" s="62"/>
      <c r="BX450" s="62"/>
      <c r="BY450" s="62"/>
      <c r="BZ450" s="62"/>
      <c r="CA450" s="62"/>
      <c r="CB450" s="62"/>
    </row>
    <row r="451" ht="15.75" customHeight="1">
      <c r="A451" s="62"/>
      <c r="B451" s="79"/>
      <c r="C451" s="62"/>
      <c r="D451" s="62"/>
      <c r="E451" s="74"/>
      <c r="F451" s="62"/>
      <c r="G451" s="62"/>
      <c r="H451" s="62"/>
      <c r="I451" s="79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143"/>
      <c r="V451" s="143"/>
      <c r="W451" s="143"/>
      <c r="X451" s="62"/>
      <c r="Y451" s="62"/>
      <c r="Z451" s="143"/>
      <c r="AA451" s="143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78"/>
      <c r="BD451" s="78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  <c r="BS451" s="62"/>
      <c r="BT451" s="62"/>
      <c r="BU451" s="62"/>
      <c r="BV451" s="62"/>
      <c r="BW451" s="62"/>
      <c r="BX451" s="62"/>
      <c r="BY451" s="62"/>
      <c r="BZ451" s="62"/>
      <c r="CA451" s="62"/>
      <c r="CB451" s="62"/>
    </row>
    <row r="452" ht="15.75" customHeight="1">
      <c r="A452" s="62"/>
      <c r="B452" s="79"/>
      <c r="C452" s="62"/>
      <c r="D452" s="62"/>
      <c r="E452" s="74"/>
      <c r="F452" s="62"/>
      <c r="G452" s="62"/>
      <c r="H452" s="62"/>
      <c r="I452" s="79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143"/>
      <c r="V452" s="143"/>
      <c r="W452" s="143"/>
      <c r="X452" s="62"/>
      <c r="Y452" s="62"/>
      <c r="Z452" s="143"/>
      <c r="AA452" s="143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78"/>
      <c r="BD452" s="78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  <c r="BS452" s="62"/>
      <c r="BT452" s="62"/>
      <c r="BU452" s="62"/>
      <c r="BV452" s="62"/>
      <c r="BW452" s="62"/>
      <c r="BX452" s="62"/>
      <c r="BY452" s="62"/>
      <c r="BZ452" s="62"/>
      <c r="CA452" s="62"/>
      <c r="CB452" s="62"/>
    </row>
    <row r="453" ht="15.75" customHeight="1">
      <c r="A453" s="62"/>
      <c r="B453" s="79"/>
      <c r="C453" s="62"/>
      <c r="D453" s="62"/>
      <c r="E453" s="74"/>
      <c r="F453" s="62"/>
      <c r="G453" s="62"/>
      <c r="H453" s="62"/>
      <c r="I453" s="79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143"/>
      <c r="V453" s="143"/>
      <c r="W453" s="143"/>
      <c r="X453" s="62"/>
      <c r="Y453" s="62"/>
      <c r="Z453" s="143"/>
      <c r="AA453" s="143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78"/>
      <c r="BD453" s="78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62"/>
      <c r="BS453" s="62"/>
      <c r="BT453" s="62"/>
      <c r="BU453" s="62"/>
      <c r="BV453" s="62"/>
      <c r="BW453" s="62"/>
      <c r="BX453" s="62"/>
      <c r="BY453" s="62"/>
      <c r="BZ453" s="62"/>
      <c r="CA453" s="62"/>
      <c r="CB453" s="62"/>
    </row>
    <row r="454" ht="15.75" customHeight="1">
      <c r="A454" s="62"/>
      <c r="B454" s="79"/>
      <c r="C454" s="62"/>
      <c r="D454" s="62"/>
      <c r="E454" s="74"/>
      <c r="F454" s="62"/>
      <c r="G454" s="62"/>
      <c r="H454" s="62"/>
      <c r="I454" s="79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143"/>
      <c r="V454" s="143"/>
      <c r="W454" s="143"/>
      <c r="X454" s="62"/>
      <c r="Y454" s="62"/>
      <c r="Z454" s="143"/>
      <c r="AA454" s="143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78"/>
      <c r="BD454" s="78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  <c r="BS454" s="62"/>
      <c r="BT454" s="62"/>
      <c r="BU454" s="62"/>
      <c r="BV454" s="62"/>
      <c r="BW454" s="62"/>
      <c r="BX454" s="62"/>
      <c r="BY454" s="62"/>
      <c r="BZ454" s="62"/>
      <c r="CA454" s="62"/>
      <c r="CB454" s="62"/>
    </row>
    <row r="455" ht="15.75" customHeight="1">
      <c r="A455" s="62"/>
      <c r="B455" s="79"/>
      <c r="C455" s="62"/>
      <c r="D455" s="62"/>
      <c r="E455" s="74"/>
      <c r="F455" s="62"/>
      <c r="G455" s="62"/>
      <c r="H455" s="62"/>
      <c r="I455" s="79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143"/>
      <c r="V455" s="143"/>
      <c r="W455" s="143"/>
      <c r="X455" s="62"/>
      <c r="Y455" s="62"/>
      <c r="Z455" s="143"/>
      <c r="AA455" s="143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78"/>
      <c r="BD455" s="78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62"/>
      <c r="BS455" s="62"/>
      <c r="BT455" s="62"/>
      <c r="BU455" s="62"/>
      <c r="BV455" s="62"/>
      <c r="BW455" s="62"/>
      <c r="BX455" s="62"/>
      <c r="BY455" s="62"/>
      <c r="BZ455" s="62"/>
      <c r="CA455" s="62"/>
      <c r="CB455" s="62"/>
    </row>
    <row r="456" ht="15.75" customHeight="1">
      <c r="A456" s="62"/>
      <c r="B456" s="79"/>
      <c r="C456" s="62"/>
      <c r="D456" s="62"/>
      <c r="E456" s="74"/>
      <c r="F456" s="62"/>
      <c r="G456" s="62"/>
      <c r="H456" s="62"/>
      <c r="I456" s="79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143"/>
      <c r="V456" s="143"/>
      <c r="W456" s="143"/>
      <c r="X456" s="62"/>
      <c r="Y456" s="62"/>
      <c r="Z456" s="143"/>
      <c r="AA456" s="143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78"/>
      <c r="BD456" s="78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  <c r="BS456" s="62"/>
      <c r="BT456" s="62"/>
      <c r="BU456" s="62"/>
      <c r="BV456" s="62"/>
      <c r="BW456" s="62"/>
      <c r="BX456" s="62"/>
      <c r="BY456" s="62"/>
      <c r="BZ456" s="62"/>
      <c r="CA456" s="62"/>
      <c r="CB456" s="62"/>
    </row>
    <row r="457" ht="15.75" customHeight="1">
      <c r="A457" s="62"/>
      <c r="B457" s="79"/>
      <c r="C457" s="62"/>
      <c r="D457" s="62"/>
      <c r="E457" s="74"/>
      <c r="F457" s="62"/>
      <c r="G457" s="62"/>
      <c r="H457" s="62"/>
      <c r="I457" s="79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143"/>
      <c r="V457" s="143"/>
      <c r="W457" s="143"/>
      <c r="X457" s="62"/>
      <c r="Y457" s="62"/>
      <c r="Z457" s="143"/>
      <c r="AA457" s="143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78"/>
      <c r="BD457" s="78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62"/>
      <c r="BS457" s="62"/>
      <c r="BT457" s="62"/>
      <c r="BU457" s="62"/>
      <c r="BV457" s="62"/>
      <c r="BW457" s="62"/>
      <c r="BX457" s="62"/>
      <c r="BY457" s="62"/>
      <c r="BZ457" s="62"/>
      <c r="CA457" s="62"/>
      <c r="CB457" s="62"/>
    </row>
    <row r="458" ht="15.75" customHeight="1">
      <c r="A458" s="62"/>
      <c r="B458" s="79"/>
      <c r="C458" s="62"/>
      <c r="D458" s="62"/>
      <c r="E458" s="74"/>
      <c r="F458" s="62"/>
      <c r="G458" s="62"/>
      <c r="H458" s="62"/>
      <c r="I458" s="79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143"/>
      <c r="V458" s="143"/>
      <c r="W458" s="143"/>
      <c r="X458" s="62"/>
      <c r="Y458" s="62"/>
      <c r="Z458" s="143"/>
      <c r="AA458" s="143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78"/>
      <c r="BD458" s="78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  <c r="BS458" s="62"/>
      <c r="BT458" s="62"/>
      <c r="BU458" s="62"/>
      <c r="BV458" s="62"/>
      <c r="BW458" s="62"/>
      <c r="BX458" s="62"/>
      <c r="BY458" s="62"/>
      <c r="BZ458" s="62"/>
      <c r="CA458" s="62"/>
      <c r="CB458" s="62"/>
    </row>
    <row r="459" ht="15.75" customHeight="1">
      <c r="A459" s="62"/>
      <c r="B459" s="79"/>
      <c r="C459" s="62"/>
      <c r="D459" s="62"/>
      <c r="E459" s="74"/>
      <c r="F459" s="62"/>
      <c r="G459" s="62"/>
      <c r="H459" s="62"/>
      <c r="I459" s="79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143"/>
      <c r="V459" s="143"/>
      <c r="W459" s="143"/>
      <c r="X459" s="62"/>
      <c r="Y459" s="62"/>
      <c r="Z459" s="143"/>
      <c r="AA459" s="143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78"/>
      <c r="BD459" s="78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62"/>
      <c r="BS459" s="62"/>
      <c r="BT459" s="62"/>
      <c r="BU459" s="62"/>
      <c r="BV459" s="62"/>
      <c r="BW459" s="62"/>
      <c r="BX459" s="62"/>
      <c r="BY459" s="62"/>
      <c r="BZ459" s="62"/>
      <c r="CA459" s="62"/>
      <c r="CB459" s="62"/>
    </row>
    <row r="460" ht="15.75" customHeight="1">
      <c r="A460" s="62"/>
      <c r="B460" s="79"/>
      <c r="C460" s="62"/>
      <c r="D460" s="62"/>
      <c r="E460" s="74"/>
      <c r="F460" s="62"/>
      <c r="G460" s="62"/>
      <c r="H460" s="62"/>
      <c r="I460" s="79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143"/>
      <c r="V460" s="143"/>
      <c r="W460" s="143"/>
      <c r="X460" s="62"/>
      <c r="Y460" s="62"/>
      <c r="Z460" s="143"/>
      <c r="AA460" s="143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78"/>
      <c r="BD460" s="78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  <c r="BS460" s="62"/>
      <c r="BT460" s="62"/>
      <c r="BU460" s="62"/>
      <c r="BV460" s="62"/>
      <c r="BW460" s="62"/>
      <c r="BX460" s="62"/>
      <c r="BY460" s="62"/>
      <c r="BZ460" s="62"/>
      <c r="CA460" s="62"/>
      <c r="CB460" s="62"/>
    </row>
    <row r="461" ht="15.75" customHeight="1">
      <c r="A461" s="62"/>
      <c r="B461" s="79"/>
      <c r="C461" s="62"/>
      <c r="D461" s="62"/>
      <c r="E461" s="74"/>
      <c r="F461" s="62"/>
      <c r="G461" s="62"/>
      <c r="H461" s="62"/>
      <c r="I461" s="79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143"/>
      <c r="V461" s="143"/>
      <c r="W461" s="143"/>
      <c r="X461" s="62"/>
      <c r="Y461" s="62"/>
      <c r="Z461" s="143"/>
      <c r="AA461" s="143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78"/>
      <c r="BD461" s="78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  <c r="BS461" s="62"/>
      <c r="BT461" s="62"/>
      <c r="BU461" s="62"/>
      <c r="BV461" s="62"/>
      <c r="BW461" s="62"/>
      <c r="BX461" s="62"/>
      <c r="BY461" s="62"/>
      <c r="BZ461" s="62"/>
      <c r="CA461" s="62"/>
      <c r="CB461" s="62"/>
    </row>
    <row r="462" ht="15.75" customHeight="1">
      <c r="A462" s="62"/>
      <c r="B462" s="79"/>
      <c r="C462" s="62"/>
      <c r="D462" s="62"/>
      <c r="E462" s="74"/>
      <c r="F462" s="62"/>
      <c r="G462" s="62"/>
      <c r="H462" s="62"/>
      <c r="I462" s="79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143"/>
      <c r="V462" s="143"/>
      <c r="W462" s="143"/>
      <c r="X462" s="62"/>
      <c r="Y462" s="62"/>
      <c r="Z462" s="143"/>
      <c r="AA462" s="143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78"/>
      <c r="BD462" s="78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</row>
    <row r="463" ht="15.75" customHeight="1">
      <c r="A463" s="62"/>
      <c r="B463" s="79"/>
      <c r="C463" s="62"/>
      <c r="D463" s="62"/>
      <c r="E463" s="74"/>
      <c r="F463" s="62"/>
      <c r="G463" s="62"/>
      <c r="H463" s="62"/>
      <c r="I463" s="79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143"/>
      <c r="V463" s="143"/>
      <c r="W463" s="143"/>
      <c r="X463" s="62"/>
      <c r="Y463" s="62"/>
      <c r="Z463" s="143"/>
      <c r="AA463" s="143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78"/>
      <c r="BD463" s="78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62"/>
      <c r="BS463" s="62"/>
      <c r="BT463" s="62"/>
      <c r="BU463" s="62"/>
      <c r="BV463" s="62"/>
      <c r="BW463" s="62"/>
      <c r="BX463" s="62"/>
      <c r="BY463" s="62"/>
      <c r="BZ463" s="62"/>
      <c r="CA463" s="62"/>
      <c r="CB463" s="62"/>
    </row>
    <row r="464" ht="15.75" customHeight="1">
      <c r="A464" s="62"/>
      <c r="B464" s="79"/>
      <c r="C464" s="62"/>
      <c r="D464" s="62"/>
      <c r="E464" s="74"/>
      <c r="F464" s="62"/>
      <c r="G464" s="62"/>
      <c r="H464" s="62"/>
      <c r="I464" s="79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143"/>
      <c r="V464" s="143"/>
      <c r="W464" s="143"/>
      <c r="X464" s="62"/>
      <c r="Y464" s="62"/>
      <c r="Z464" s="143"/>
      <c r="AA464" s="143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78"/>
      <c r="BD464" s="78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  <c r="BS464" s="62"/>
      <c r="BT464" s="62"/>
      <c r="BU464" s="62"/>
      <c r="BV464" s="62"/>
      <c r="BW464" s="62"/>
      <c r="BX464" s="62"/>
      <c r="BY464" s="62"/>
      <c r="BZ464" s="62"/>
      <c r="CA464" s="62"/>
      <c r="CB464" s="62"/>
    </row>
    <row r="465" ht="15.75" customHeight="1">
      <c r="A465" s="62"/>
      <c r="B465" s="79"/>
      <c r="C465" s="62"/>
      <c r="D465" s="62"/>
      <c r="E465" s="74"/>
      <c r="F465" s="62"/>
      <c r="G465" s="62"/>
      <c r="H465" s="62"/>
      <c r="I465" s="79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143"/>
      <c r="V465" s="143"/>
      <c r="W465" s="143"/>
      <c r="X465" s="62"/>
      <c r="Y465" s="62"/>
      <c r="Z465" s="143"/>
      <c r="AA465" s="143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78"/>
      <c r="BD465" s="78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62"/>
      <c r="BS465" s="62"/>
      <c r="BT465" s="62"/>
      <c r="BU465" s="62"/>
      <c r="BV465" s="62"/>
      <c r="BW465" s="62"/>
      <c r="BX465" s="62"/>
      <c r="BY465" s="62"/>
      <c r="BZ465" s="62"/>
      <c r="CA465" s="62"/>
      <c r="CB465" s="62"/>
    </row>
    <row r="466" ht="15.75" customHeight="1">
      <c r="A466" s="62"/>
      <c r="B466" s="79"/>
      <c r="C466" s="62"/>
      <c r="D466" s="62"/>
      <c r="E466" s="74"/>
      <c r="F466" s="62"/>
      <c r="G466" s="62"/>
      <c r="H466" s="62"/>
      <c r="I466" s="79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143"/>
      <c r="V466" s="143"/>
      <c r="W466" s="143"/>
      <c r="X466" s="62"/>
      <c r="Y466" s="62"/>
      <c r="Z466" s="143"/>
      <c r="AA466" s="143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78"/>
      <c r="BD466" s="78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</row>
    <row r="467" ht="15.75" customHeight="1">
      <c r="A467" s="62"/>
      <c r="B467" s="79"/>
      <c r="C467" s="62"/>
      <c r="D467" s="62"/>
      <c r="E467" s="74"/>
      <c r="F467" s="62"/>
      <c r="G467" s="62"/>
      <c r="H467" s="62"/>
      <c r="I467" s="79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143"/>
      <c r="V467" s="143"/>
      <c r="W467" s="143"/>
      <c r="X467" s="62"/>
      <c r="Y467" s="62"/>
      <c r="Z467" s="143"/>
      <c r="AA467" s="143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78"/>
      <c r="BD467" s="78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</row>
    <row r="468" ht="15.75" customHeight="1">
      <c r="A468" s="62"/>
      <c r="B468" s="79"/>
      <c r="C468" s="62"/>
      <c r="D468" s="62"/>
      <c r="E468" s="74"/>
      <c r="F468" s="62"/>
      <c r="G468" s="62"/>
      <c r="H468" s="62"/>
      <c r="I468" s="79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143"/>
      <c r="V468" s="143"/>
      <c r="W468" s="143"/>
      <c r="X468" s="62"/>
      <c r="Y468" s="62"/>
      <c r="Z468" s="143"/>
      <c r="AA468" s="143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78"/>
      <c r="BD468" s="78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</row>
    <row r="469" ht="15.75" customHeight="1">
      <c r="A469" s="62"/>
      <c r="B469" s="79"/>
      <c r="C469" s="62"/>
      <c r="D469" s="62"/>
      <c r="E469" s="74"/>
      <c r="F469" s="62"/>
      <c r="G469" s="62"/>
      <c r="H469" s="62"/>
      <c r="I469" s="79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143"/>
      <c r="V469" s="143"/>
      <c r="W469" s="143"/>
      <c r="X469" s="62"/>
      <c r="Y469" s="62"/>
      <c r="Z469" s="143"/>
      <c r="AA469" s="143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78"/>
      <c r="BD469" s="78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</row>
    <row r="470" ht="15.75" customHeight="1">
      <c r="A470" s="62"/>
      <c r="B470" s="79"/>
      <c r="C470" s="62"/>
      <c r="D470" s="62"/>
      <c r="E470" s="74"/>
      <c r="F470" s="62"/>
      <c r="G470" s="62"/>
      <c r="H470" s="62"/>
      <c r="I470" s="79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143"/>
      <c r="V470" s="143"/>
      <c r="W470" s="143"/>
      <c r="X470" s="62"/>
      <c r="Y470" s="62"/>
      <c r="Z470" s="143"/>
      <c r="AA470" s="143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78"/>
      <c r="BD470" s="78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</row>
    <row r="471" ht="15.75" customHeight="1">
      <c r="A471" s="62"/>
      <c r="B471" s="79"/>
      <c r="C471" s="62"/>
      <c r="D471" s="62"/>
      <c r="E471" s="74"/>
      <c r="F471" s="62"/>
      <c r="G471" s="62"/>
      <c r="H471" s="62"/>
      <c r="I471" s="79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143"/>
      <c r="V471" s="143"/>
      <c r="W471" s="143"/>
      <c r="X471" s="62"/>
      <c r="Y471" s="62"/>
      <c r="Z471" s="143"/>
      <c r="AA471" s="143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78"/>
      <c r="BD471" s="78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</row>
    <row r="472" ht="15.75" customHeight="1">
      <c r="A472" s="62"/>
      <c r="B472" s="79"/>
      <c r="C472" s="62"/>
      <c r="D472" s="62"/>
      <c r="E472" s="74"/>
      <c r="F472" s="62"/>
      <c r="G472" s="62"/>
      <c r="H472" s="62"/>
      <c r="I472" s="79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143"/>
      <c r="V472" s="143"/>
      <c r="W472" s="143"/>
      <c r="X472" s="62"/>
      <c r="Y472" s="62"/>
      <c r="Z472" s="143"/>
      <c r="AA472" s="143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78"/>
      <c r="BD472" s="78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</row>
    <row r="473" ht="15.75" customHeight="1">
      <c r="A473" s="62"/>
      <c r="B473" s="79"/>
      <c r="C473" s="62"/>
      <c r="D473" s="62"/>
      <c r="E473" s="74"/>
      <c r="F473" s="62"/>
      <c r="G473" s="62"/>
      <c r="H473" s="62"/>
      <c r="I473" s="79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143"/>
      <c r="V473" s="143"/>
      <c r="W473" s="143"/>
      <c r="X473" s="62"/>
      <c r="Y473" s="62"/>
      <c r="Z473" s="143"/>
      <c r="AA473" s="143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78"/>
      <c r="BD473" s="78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</row>
    <row r="474" ht="15.75" customHeight="1">
      <c r="A474" s="62"/>
      <c r="B474" s="79"/>
      <c r="C474" s="62"/>
      <c r="D474" s="62"/>
      <c r="E474" s="74"/>
      <c r="F474" s="62"/>
      <c r="G474" s="62"/>
      <c r="H474" s="62"/>
      <c r="I474" s="79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143"/>
      <c r="V474" s="143"/>
      <c r="W474" s="143"/>
      <c r="X474" s="62"/>
      <c r="Y474" s="62"/>
      <c r="Z474" s="143"/>
      <c r="AA474" s="143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78"/>
      <c r="BD474" s="78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</row>
    <row r="475" ht="15.75" customHeight="1">
      <c r="A475" s="62"/>
      <c r="B475" s="79"/>
      <c r="C475" s="62"/>
      <c r="D475" s="62"/>
      <c r="E475" s="74"/>
      <c r="F475" s="62"/>
      <c r="G475" s="62"/>
      <c r="H475" s="62"/>
      <c r="I475" s="79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143"/>
      <c r="V475" s="143"/>
      <c r="W475" s="143"/>
      <c r="X475" s="62"/>
      <c r="Y475" s="62"/>
      <c r="Z475" s="143"/>
      <c r="AA475" s="143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78"/>
      <c r="BD475" s="78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</row>
    <row r="476" ht="15.75" customHeight="1">
      <c r="A476" s="62"/>
      <c r="B476" s="79"/>
      <c r="C476" s="62"/>
      <c r="D476" s="62"/>
      <c r="E476" s="74"/>
      <c r="F476" s="62"/>
      <c r="G476" s="62"/>
      <c r="H476" s="62"/>
      <c r="I476" s="79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143"/>
      <c r="V476" s="143"/>
      <c r="W476" s="143"/>
      <c r="X476" s="62"/>
      <c r="Y476" s="62"/>
      <c r="Z476" s="143"/>
      <c r="AA476" s="143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78"/>
      <c r="BD476" s="78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  <c r="BS476" s="62"/>
      <c r="BT476" s="62"/>
      <c r="BU476" s="62"/>
      <c r="BV476" s="62"/>
      <c r="BW476" s="62"/>
      <c r="BX476" s="62"/>
      <c r="BY476" s="62"/>
      <c r="BZ476" s="62"/>
      <c r="CA476" s="62"/>
      <c r="CB476" s="62"/>
    </row>
    <row r="477" ht="15.75" customHeight="1">
      <c r="A477" s="62"/>
      <c r="B477" s="79"/>
      <c r="C477" s="62"/>
      <c r="D477" s="62"/>
      <c r="E477" s="74"/>
      <c r="F477" s="62"/>
      <c r="G477" s="62"/>
      <c r="H477" s="62"/>
      <c r="I477" s="79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143"/>
      <c r="V477" s="143"/>
      <c r="W477" s="143"/>
      <c r="X477" s="62"/>
      <c r="Y477" s="62"/>
      <c r="Z477" s="143"/>
      <c r="AA477" s="143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78"/>
      <c r="BD477" s="78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62"/>
      <c r="BS477" s="62"/>
      <c r="BT477" s="62"/>
      <c r="BU477" s="62"/>
      <c r="BV477" s="62"/>
      <c r="BW477" s="62"/>
      <c r="BX477" s="62"/>
      <c r="BY477" s="62"/>
      <c r="BZ477" s="62"/>
      <c r="CA477" s="62"/>
      <c r="CB477" s="62"/>
    </row>
    <row r="478" ht="15.75" customHeight="1">
      <c r="A478" s="62"/>
      <c r="B478" s="79"/>
      <c r="C478" s="62"/>
      <c r="D478" s="62"/>
      <c r="E478" s="74"/>
      <c r="F478" s="62"/>
      <c r="G478" s="62"/>
      <c r="H478" s="62"/>
      <c r="I478" s="79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143"/>
      <c r="V478" s="143"/>
      <c r="W478" s="143"/>
      <c r="X478" s="62"/>
      <c r="Y478" s="62"/>
      <c r="Z478" s="143"/>
      <c r="AA478" s="143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78"/>
      <c r="BD478" s="78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  <c r="BS478" s="62"/>
      <c r="BT478" s="62"/>
      <c r="BU478" s="62"/>
      <c r="BV478" s="62"/>
      <c r="BW478" s="62"/>
      <c r="BX478" s="62"/>
      <c r="BY478" s="62"/>
      <c r="BZ478" s="62"/>
      <c r="CA478" s="62"/>
      <c r="CB478" s="62"/>
    </row>
    <row r="479" ht="15.75" customHeight="1">
      <c r="A479" s="62"/>
      <c r="B479" s="79"/>
      <c r="C479" s="62"/>
      <c r="D479" s="62"/>
      <c r="E479" s="74"/>
      <c r="F479" s="62"/>
      <c r="G479" s="62"/>
      <c r="H479" s="62"/>
      <c r="I479" s="79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143"/>
      <c r="V479" s="143"/>
      <c r="W479" s="143"/>
      <c r="X479" s="62"/>
      <c r="Y479" s="62"/>
      <c r="Z479" s="143"/>
      <c r="AA479" s="143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78"/>
      <c r="BD479" s="78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62"/>
      <c r="BS479" s="62"/>
      <c r="BT479" s="62"/>
      <c r="BU479" s="62"/>
      <c r="BV479" s="62"/>
      <c r="BW479" s="62"/>
      <c r="BX479" s="62"/>
      <c r="BY479" s="62"/>
      <c r="BZ479" s="62"/>
      <c r="CA479" s="62"/>
      <c r="CB479" s="62"/>
    </row>
    <row r="480" ht="15.75" customHeight="1">
      <c r="A480" s="62"/>
      <c r="B480" s="79"/>
      <c r="C480" s="62"/>
      <c r="D480" s="62"/>
      <c r="E480" s="74"/>
      <c r="F480" s="62"/>
      <c r="G480" s="62"/>
      <c r="H480" s="62"/>
      <c r="I480" s="79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143"/>
      <c r="V480" s="143"/>
      <c r="W480" s="143"/>
      <c r="X480" s="62"/>
      <c r="Y480" s="62"/>
      <c r="Z480" s="143"/>
      <c r="AA480" s="143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78"/>
      <c r="BD480" s="78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  <c r="BS480" s="62"/>
      <c r="BT480" s="62"/>
      <c r="BU480" s="62"/>
      <c r="BV480" s="62"/>
      <c r="BW480" s="62"/>
      <c r="BX480" s="62"/>
      <c r="BY480" s="62"/>
      <c r="BZ480" s="62"/>
      <c r="CA480" s="62"/>
      <c r="CB480" s="62"/>
    </row>
    <row r="481" ht="15.75" customHeight="1">
      <c r="A481" s="62"/>
      <c r="B481" s="79"/>
      <c r="C481" s="62"/>
      <c r="D481" s="62"/>
      <c r="E481" s="74"/>
      <c r="F481" s="62"/>
      <c r="G481" s="62"/>
      <c r="H481" s="62"/>
      <c r="I481" s="79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143"/>
      <c r="V481" s="143"/>
      <c r="W481" s="143"/>
      <c r="X481" s="62"/>
      <c r="Y481" s="62"/>
      <c r="Z481" s="143"/>
      <c r="AA481" s="143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78"/>
      <c r="BD481" s="78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62"/>
      <c r="BS481" s="62"/>
      <c r="BT481" s="62"/>
      <c r="BU481" s="62"/>
      <c r="BV481" s="62"/>
      <c r="BW481" s="62"/>
      <c r="BX481" s="62"/>
      <c r="BY481" s="62"/>
      <c r="BZ481" s="62"/>
      <c r="CA481" s="62"/>
      <c r="CB481" s="62"/>
    </row>
    <row r="482" ht="15.75" customHeight="1">
      <c r="A482" s="62"/>
      <c r="B482" s="79"/>
      <c r="C482" s="62"/>
      <c r="D482" s="62"/>
      <c r="E482" s="74"/>
      <c r="F482" s="62"/>
      <c r="G482" s="62"/>
      <c r="H482" s="62"/>
      <c r="I482" s="79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143"/>
      <c r="V482" s="143"/>
      <c r="W482" s="143"/>
      <c r="X482" s="62"/>
      <c r="Y482" s="62"/>
      <c r="Z482" s="143"/>
      <c r="AA482" s="143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78"/>
      <c r="BD482" s="78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</row>
    <row r="483" ht="15.75" customHeight="1">
      <c r="A483" s="62"/>
      <c r="B483" s="79"/>
      <c r="C483" s="62"/>
      <c r="D483" s="62"/>
      <c r="E483" s="74"/>
      <c r="F483" s="62"/>
      <c r="G483" s="62"/>
      <c r="H483" s="62"/>
      <c r="I483" s="79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143"/>
      <c r="V483" s="143"/>
      <c r="W483" s="143"/>
      <c r="X483" s="62"/>
      <c r="Y483" s="62"/>
      <c r="Z483" s="143"/>
      <c r="AA483" s="143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78"/>
      <c r="BD483" s="78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62"/>
      <c r="BS483" s="62"/>
      <c r="BT483" s="62"/>
      <c r="BU483" s="62"/>
      <c r="BV483" s="62"/>
      <c r="BW483" s="62"/>
      <c r="BX483" s="62"/>
      <c r="BY483" s="62"/>
      <c r="BZ483" s="62"/>
      <c r="CA483" s="62"/>
      <c r="CB483" s="62"/>
    </row>
    <row r="484" ht="15.75" customHeight="1">
      <c r="A484" s="62"/>
      <c r="B484" s="79"/>
      <c r="C484" s="62"/>
      <c r="D484" s="62"/>
      <c r="E484" s="74"/>
      <c r="F484" s="62"/>
      <c r="G484" s="62"/>
      <c r="H484" s="62"/>
      <c r="I484" s="79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143"/>
      <c r="V484" s="143"/>
      <c r="W484" s="143"/>
      <c r="X484" s="62"/>
      <c r="Y484" s="62"/>
      <c r="Z484" s="143"/>
      <c r="AA484" s="143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78"/>
      <c r="BD484" s="78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</row>
    <row r="485" ht="15.75" customHeight="1">
      <c r="A485" s="62"/>
      <c r="B485" s="79"/>
      <c r="C485" s="62"/>
      <c r="D485" s="62"/>
      <c r="E485" s="74"/>
      <c r="F485" s="62"/>
      <c r="G485" s="62"/>
      <c r="H485" s="62"/>
      <c r="I485" s="79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143"/>
      <c r="V485" s="143"/>
      <c r="W485" s="143"/>
      <c r="X485" s="62"/>
      <c r="Y485" s="62"/>
      <c r="Z485" s="143"/>
      <c r="AA485" s="143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78"/>
      <c r="BD485" s="78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62"/>
      <c r="BS485" s="62"/>
      <c r="BT485" s="62"/>
      <c r="BU485" s="62"/>
      <c r="BV485" s="62"/>
      <c r="BW485" s="62"/>
      <c r="BX485" s="62"/>
      <c r="BY485" s="62"/>
      <c r="BZ485" s="62"/>
      <c r="CA485" s="62"/>
      <c r="CB485" s="62"/>
    </row>
    <row r="486" ht="15.75" customHeight="1">
      <c r="A486" s="62"/>
      <c r="B486" s="79"/>
      <c r="C486" s="62"/>
      <c r="D486" s="62"/>
      <c r="E486" s="74"/>
      <c r="F486" s="62"/>
      <c r="G486" s="62"/>
      <c r="H486" s="62"/>
      <c r="I486" s="79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143"/>
      <c r="V486" s="143"/>
      <c r="W486" s="143"/>
      <c r="X486" s="62"/>
      <c r="Y486" s="62"/>
      <c r="Z486" s="143"/>
      <c r="AA486" s="143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78"/>
      <c r="BD486" s="78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  <c r="BS486" s="62"/>
      <c r="BT486" s="62"/>
      <c r="BU486" s="62"/>
      <c r="BV486" s="62"/>
      <c r="BW486" s="62"/>
      <c r="BX486" s="62"/>
      <c r="BY486" s="62"/>
      <c r="BZ486" s="62"/>
      <c r="CA486" s="62"/>
      <c r="CB486" s="62"/>
    </row>
    <row r="487" ht="15.75" customHeight="1">
      <c r="A487" s="62"/>
      <c r="B487" s="79"/>
      <c r="C487" s="62"/>
      <c r="D487" s="62"/>
      <c r="E487" s="74"/>
      <c r="F487" s="62"/>
      <c r="G487" s="62"/>
      <c r="H487" s="62"/>
      <c r="I487" s="79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143"/>
      <c r="V487" s="143"/>
      <c r="W487" s="143"/>
      <c r="X487" s="62"/>
      <c r="Y487" s="62"/>
      <c r="Z487" s="143"/>
      <c r="AA487" s="143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78"/>
      <c r="BD487" s="78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62"/>
      <c r="BS487" s="62"/>
      <c r="BT487" s="62"/>
      <c r="BU487" s="62"/>
      <c r="BV487" s="62"/>
      <c r="BW487" s="62"/>
      <c r="BX487" s="62"/>
      <c r="BY487" s="62"/>
      <c r="BZ487" s="62"/>
      <c r="CA487" s="62"/>
      <c r="CB487" s="62"/>
    </row>
    <row r="488" ht="15.75" customHeight="1">
      <c r="A488" s="62"/>
      <c r="B488" s="79"/>
      <c r="C488" s="62"/>
      <c r="D488" s="62"/>
      <c r="E488" s="74"/>
      <c r="F488" s="62"/>
      <c r="G488" s="62"/>
      <c r="H488" s="62"/>
      <c r="I488" s="79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143"/>
      <c r="V488" s="143"/>
      <c r="W488" s="143"/>
      <c r="X488" s="62"/>
      <c r="Y488" s="62"/>
      <c r="Z488" s="143"/>
      <c r="AA488" s="143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78"/>
      <c r="BD488" s="78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</row>
    <row r="489" ht="15.75" customHeight="1">
      <c r="A489" s="62"/>
      <c r="B489" s="79"/>
      <c r="C489" s="62"/>
      <c r="D489" s="62"/>
      <c r="E489" s="74"/>
      <c r="F489" s="62"/>
      <c r="G489" s="62"/>
      <c r="H489" s="62"/>
      <c r="I489" s="79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143"/>
      <c r="V489" s="143"/>
      <c r="W489" s="143"/>
      <c r="X489" s="62"/>
      <c r="Y489" s="62"/>
      <c r="Z489" s="143"/>
      <c r="AA489" s="143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78"/>
      <c r="BD489" s="78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62"/>
      <c r="BS489" s="62"/>
      <c r="BT489" s="62"/>
      <c r="BU489" s="62"/>
      <c r="BV489" s="62"/>
      <c r="BW489" s="62"/>
      <c r="BX489" s="62"/>
      <c r="BY489" s="62"/>
      <c r="BZ489" s="62"/>
      <c r="CA489" s="62"/>
      <c r="CB489" s="62"/>
    </row>
    <row r="490" ht="15.75" customHeight="1">
      <c r="A490" s="62"/>
      <c r="B490" s="79"/>
      <c r="C490" s="62"/>
      <c r="D490" s="62"/>
      <c r="E490" s="74"/>
      <c r="F490" s="62"/>
      <c r="G490" s="62"/>
      <c r="H490" s="62"/>
      <c r="I490" s="79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143"/>
      <c r="V490" s="143"/>
      <c r="W490" s="143"/>
      <c r="X490" s="62"/>
      <c r="Y490" s="62"/>
      <c r="Z490" s="143"/>
      <c r="AA490" s="143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78"/>
      <c r="BD490" s="78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  <c r="BS490" s="62"/>
      <c r="BT490" s="62"/>
      <c r="BU490" s="62"/>
      <c r="BV490" s="62"/>
      <c r="BW490" s="62"/>
      <c r="BX490" s="62"/>
      <c r="BY490" s="62"/>
      <c r="BZ490" s="62"/>
      <c r="CA490" s="62"/>
      <c r="CB490" s="62"/>
    </row>
    <row r="491" ht="15.75" customHeight="1">
      <c r="A491" s="62"/>
      <c r="B491" s="79"/>
      <c r="C491" s="62"/>
      <c r="D491" s="62"/>
      <c r="E491" s="74"/>
      <c r="F491" s="62"/>
      <c r="G491" s="62"/>
      <c r="H491" s="62"/>
      <c r="I491" s="79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143"/>
      <c r="V491" s="143"/>
      <c r="W491" s="143"/>
      <c r="X491" s="62"/>
      <c r="Y491" s="62"/>
      <c r="Z491" s="143"/>
      <c r="AA491" s="143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78"/>
      <c r="BD491" s="78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62"/>
      <c r="BS491" s="62"/>
      <c r="BT491" s="62"/>
      <c r="BU491" s="62"/>
      <c r="BV491" s="62"/>
      <c r="BW491" s="62"/>
      <c r="BX491" s="62"/>
      <c r="BY491" s="62"/>
      <c r="BZ491" s="62"/>
      <c r="CA491" s="62"/>
      <c r="CB491" s="62"/>
    </row>
    <row r="492" ht="15.75" customHeight="1">
      <c r="A492" s="62"/>
      <c r="B492" s="79"/>
      <c r="C492" s="62"/>
      <c r="D492" s="62"/>
      <c r="E492" s="74"/>
      <c r="F492" s="62"/>
      <c r="G492" s="62"/>
      <c r="H492" s="62"/>
      <c r="I492" s="79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143"/>
      <c r="V492" s="143"/>
      <c r="W492" s="143"/>
      <c r="X492" s="62"/>
      <c r="Y492" s="62"/>
      <c r="Z492" s="143"/>
      <c r="AA492" s="143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78"/>
      <c r="BD492" s="78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  <c r="BS492" s="62"/>
      <c r="BT492" s="62"/>
      <c r="BU492" s="62"/>
      <c r="BV492" s="62"/>
      <c r="BW492" s="62"/>
      <c r="BX492" s="62"/>
      <c r="BY492" s="62"/>
      <c r="BZ492" s="62"/>
      <c r="CA492" s="62"/>
      <c r="CB492" s="62"/>
    </row>
    <row r="493" ht="15.75" customHeight="1">
      <c r="A493" s="62"/>
      <c r="B493" s="79"/>
      <c r="C493" s="62"/>
      <c r="D493" s="62"/>
      <c r="E493" s="74"/>
      <c r="F493" s="62"/>
      <c r="G493" s="62"/>
      <c r="H493" s="62"/>
      <c r="I493" s="79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143"/>
      <c r="V493" s="143"/>
      <c r="W493" s="143"/>
      <c r="X493" s="62"/>
      <c r="Y493" s="62"/>
      <c r="Z493" s="143"/>
      <c r="AA493" s="143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78"/>
      <c r="BD493" s="78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62"/>
      <c r="BS493" s="62"/>
      <c r="BT493" s="62"/>
      <c r="BU493" s="62"/>
      <c r="BV493" s="62"/>
      <c r="BW493" s="62"/>
      <c r="BX493" s="62"/>
      <c r="BY493" s="62"/>
      <c r="BZ493" s="62"/>
      <c r="CA493" s="62"/>
      <c r="CB493" s="62"/>
    </row>
    <row r="494" ht="15.75" customHeight="1">
      <c r="A494" s="62"/>
      <c r="B494" s="79"/>
      <c r="C494" s="62"/>
      <c r="D494" s="62"/>
      <c r="E494" s="74"/>
      <c r="F494" s="62"/>
      <c r="G494" s="62"/>
      <c r="H494" s="62"/>
      <c r="I494" s="79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143"/>
      <c r="V494" s="143"/>
      <c r="W494" s="143"/>
      <c r="X494" s="62"/>
      <c r="Y494" s="62"/>
      <c r="Z494" s="143"/>
      <c r="AA494" s="143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78"/>
      <c r="BD494" s="78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  <c r="BS494" s="62"/>
      <c r="BT494" s="62"/>
      <c r="BU494" s="62"/>
      <c r="BV494" s="62"/>
      <c r="BW494" s="62"/>
      <c r="BX494" s="62"/>
      <c r="BY494" s="62"/>
      <c r="BZ494" s="62"/>
      <c r="CA494" s="62"/>
      <c r="CB494" s="62"/>
    </row>
    <row r="495" ht="15.75" customHeight="1">
      <c r="A495" s="62"/>
      <c r="B495" s="79"/>
      <c r="C495" s="62"/>
      <c r="D495" s="62"/>
      <c r="E495" s="74"/>
      <c r="F495" s="62"/>
      <c r="G495" s="62"/>
      <c r="H495" s="62"/>
      <c r="I495" s="79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143"/>
      <c r="V495" s="143"/>
      <c r="W495" s="143"/>
      <c r="X495" s="62"/>
      <c r="Y495" s="62"/>
      <c r="Z495" s="143"/>
      <c r="AA495" s="143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78"/>
      <c r="BD495" s="78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62"/>
      <c r="BS495" s="62"/>
      <c r="BT495" s="62"/>
      <c r="BU495" s="62"/>
      <c r="BV495" s="62"/>
      <c r="BW495" s="62"/>
      <c r="BX495" s="62"/>
      <c r="BY495" s="62"/>
      <c r="BZ495" s="62"/>
      <c r="CA495" s="62"/>
      <c r="CB495" s="62"/>
    </row>
    <row r="496" ht="15.75" customHeight="1">
      <c r="A496" s="62"/>
      <c r="B496" s="79"/>
      <c r="C496" s="62"/>
      <c r="D496" s="62"/>
      <c r="E496" s="74"/>
      <c r="F496" s="62"/>
      <c r="G496" s="62"/>
      <c r="H496" s="62"/>
      <c r="I496" s="79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143"/>
      <c r="V496" s="143"/>
      <c r="W496" s="143"/>
      <c r="X496" s="62"/>
      <c r="Y496" s="62"/>
      <c r="Z496" s="143"/>
      <c r="AA496" s="143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78"/>
      <c r="BD496" s="78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</row>
    <row r="497" ht="15.75" customHeight="1">
      <c r="A497" s="62"/>
      <c r="B497" s="79"/>
      <c r="C497" s="62"/>
      <c r="D497" s="62"/>
      <c r="E497" s="74"/>
      <c r="F497" s="62"/>
      <c r="G497" s="62"/>
      <c r="H497" s="62"/>
      <c r="I497" s="79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143"/>
      <c r="V497" s="143"/>
      <c r="W497" s="143"/>
      <c r="X497" s="62"/>
      <c r="Y497" s="62"/>
      <c r="Z497" s="143"/>
      <c r="AA497" s="143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78"/>
      <c r="BD497" s="78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62"/>
      <c r="BS497" s="62"/>
      <c r="BT497" s="62"/>
      <c r="BU497" s="62"/>
      <c r="BV497" s="62"/>
      <c r="BW497" s="62"/>
      <c r="BX497" s="62"/>
      <c r="BY497" s="62"/>
      <c r="BZ497" s="62"/>
      <c r="CA497" s="62"/>
      <c r="CB497" s="62"/>
    </row>
    <row r="498" ht="15.75" customHeight="1">
      <c r="A498" s="62"/>
      <c r="B498" s="79"/>
      <c r="C498" s="62"/>
      <c r="D498" s="62"/>
      <c r="E498" s="74"/>
      <c r="F498" s="62"/>
      <c r="G498" s="62"/>
      <c r="H498" s="62"/>
      <c r="I498" s="79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143"/>
      <c r="V498" s="143"/>
      <c r="W498" s="143"/>
      <c r="X498" s="62"/>
      <c r="Y498" s="62"/>
      <c r="Z498" s="143"/>
      <c r="AA498" s="143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78"/>
      <c r="BD498" s="78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  <c r="BS498" s="62"/>
      <c r="BT498" s="62"/>
      <c r="BU498" s="62"/>
      <c r="BV498" s="62"/>
      <c r="BW498" s="62"/>
      <c r="BX498" s="62"/>
      <c r="BY498" s="62"/>
      <c r="BZ498" s="62"/>
      <c r="CA498" s="62"/>
      <c r="CB498" s="62"/>
    </row>
    <row r="499" ht="15.75" customHeight="1">
      <c r="A499" s="62"/>
      <c r="B499" s="79"/>
      <c r="C499" s="62"/>
      <c r="D499" s="62"/>
      <c r="E499" s="74"/>
      <c r="F499" s="62"/>
      <c r="G499" s="62"/>
      <c r="H499" s="62"/>
      <c r="I499" s="79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143"/>
      <c r="V499" s="143"/>
      <c r="W499" s="143"/>
      <c r="X499" s="62"/>
      <c r="Y499" s="62"/>
      <c r="Z499" s="143"/>
      <c r="AA499" s="143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78"/>
      <c r="BD499" s="78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62"/>
      <c r="BS499" s="62"/>
      <c r="BT499" s="62"/>
      <c r="BU499" s="62"/>
      <c r="BV499" s="62"/>
      <c r="BW499" s="62"/>
      <c r="BX499" s="62"/>
      <c r="BY499" s="62"/>
      <c r="BZ499" s="62"/>
      <c r="CA499" s="62"/>
      <c r="CB499" s="62"/>
    </row>
    <row r="500" ht="15.75" customHeight="1">
      <c r="A500" s="62"/>
      <c r="B500" s="79"/>
      <c r="C500" s="62"/>
      <c r="D500" s="62"/>
      <c r="E500" s="74"/>
      <c r="F500" s="62"/>
      <c r="G500" s="62"/>
      <c r="H500" s="62"/>
      <c r="I500" s="79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143"/>
      <c r="V500" s="143"/>
      <c r="W500" s="143"/>
      <c r="X500" s="62"/>
      <c r="Y500" s="62"/>
      <c r="Z500" s="143"/>
      <c r="AA500" s="143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78"/>
      <c r="BD500" s="78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62"/>
      <c r="BS500" s="62"/>
      <c r="BT500" s="62"/>
      <c r="BU500" s="62"/>
      <c r="BV500" s="62"/>
      <c r="BW500" s="62"/>
      <c r="BX500" s="62"/>
      <c r="BY500" s="62"/>
      <c r="BZ500" s="62"/>
      <c r="CA500" s="62"/>
      <c r="CB500" s="62"/>
    </row>
    <row r="501" ht="15.75" customHeight="1">
      <c r="A501" s="62"/>
      <c r="B501" s="79"/>
      <c r="C501" s="62"/>
      <c r="D501" s="62"/>
      <c r="E501" s="74"/>
      <c r="F501" s="62"/>
      <c r="G501" s="62"/>
      <c r="H501" s="62"/>
      <c r="I501" s="79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143"/>
      <c r="V501" s="143"/>
      <c r="W501" s="143"/>
      <c r="X501" s="62"/>
      <c r="Y501" s="62"/>
      <c r="Z501" s="143"/>
      <c r="AA501" s="143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78"/>
      <c r="BD501" s="78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62"/>
      <c r="BS501" s="62"/>
      <c r="BT501" s="62"/>
      <c r="BU501" s="62"/>
      <c r="BV501" s="62"/>
      <c r="BW501" s="62"/>
      <c r="BX501" s="62"/>
      <c r="BY501" s="62"/>
      <c r="BZ501" s="62"/>
      <c r="CA501" s="62"/>
      <c r="CB501" s="62"/>
    </row>
    <row r="502" ht="15.75" customHeight="1">
      <c r="A502" s="62"/>
      <c r="B502" s="79"/>
      <c r="C502" s="62"/>
      <c r="D502" s="62"/>
      <c r="E502" s="74"/>
      <c r="F502" s="62"/>
      <c r="G502" s="62"/>
      <c r="H502" s="62"/>
      <c r="I502" s="79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143"/>
      <c r="V502" s="143"/>
      <c r="W502" s="143"/>
      <c r="X502" s="62"/>
      <c r="Y502" s="62"/>
      <c r="Z502" s="143"/>
      <c r="AA502" s="143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78"/>
      <c r="BD502" s="78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2"/>
      <c r="CA502" s="62"/>
      <c r="CB502" s="62"/>
    </row>
    <row r="503" ht="15.75" customHeight="1">
      <c r="A503" s="62"/>
      <c r="B503" s="79"/>
      <c r="C503" s="62"/>
      <c r="D503" s="62"/>
      <c r="E503" s="74"/>
      <c r="F503" s="62"/>
      <c r="G503" s="62"/>
      <c r="H503" s="62"/>
      <c r="I503" s="79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143"/>
      <c r="V503" s="143"/>
      <c r="W503" s="143"/>
      <c r="X503" s="62"/>
      <c r="Y503" s="62"/>
      <c r="Z503" s="143"/>
      <c r="AA503" s="143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78"/>
      <c r="BD503" s="78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62"/>
      <c r="BS503" s="62"/>
      <c r="BT503" s="62"/>
      <c r="BU503" s="62"/>
      <c r="BV503" s="62"/>
      <c r="BW503" s="62"/>
      <c r="BX503" s="62"/>
      <c r="BY503" s="62"/>
      <c r="BZ503" s="62"/>
      <c r="CA503" s="62"/>
      <c r="CB503" s="62"/>
    </row>
    <row r="504" ht="15.75" customHeight="1">
      <c r="A504" s="62"/>
      <c r="B504" s="79"/>
      <c r="C504" s="62"/>
      <c r="D504" s="62"/>
      <c r="E504" s="74"/>
      <c r="F504" s="62"/>
      <c r="G504" s="62"/>
      <c r="H504" s="62"/>
      <c r="I504" s="79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143"/>
      <c r="V504" s="143"/>
      <c r="W504" s="143"/>
      <c r="X504" s="62"/>
      <c r="Y504" s="62"/>
      <c r="Z504" s="143"/>
      <c r="AA504" s="143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78"/>
      <c r="BD504" s="78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</row>
    <row r="505" ht="15.75" customHeight="1">
      <c r="A505" s="62"/>
      <c r="B505" s="79"/>
      <c r="C505" s="62"/>
      <c r="D505" s="62"/>
      <c r="E505" s="74"/>
      <c r="F505" s="62"/>
      <c r="G505" s="62"/>
      <c r="H505" s="62"/>
      <c r="I505" s="79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143"/>
      <c r="V505" s="143"/>
      <c r="W505" s="143"/>
      <c r="X505" s="62"/>
      <c r="Y505" s="62"/>
      <c r="Z505" s="143"/>
      <c r="AA505" s="143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78"/>
      <c r="BD505" s="78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</row>
    <row r="506" ht="15.75" customHeight="1">
      <c r="A506" s="62"/>
      <c r="B506" s="79"/>
      <c r="C506" s="62"/>
      <c r="D506" s="62"/>
      <c r="E506" s="74"/>
      <c r="F506" s="62"/>
      <c r="G506" s="62"/>
      <c r="H506" s="62"/>
      <c r="I506" s="79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143"/>
      <c r="V506" s="143"/>
      <c r="W506" s="143"/>
      <c r="X506" s="62"/>
      <c r="Y506" s="62"/>
      <c r="Z506" s="143"/>
      <c r="AA506" s="143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78"/>
      <c r="BD506" s="78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</row>
    <row r="507" ht="15.75" customHeight="1">
      <c r="A507" s="62"/>
      <c r="B507" s="79"/>
      <c r="C507" s="62"/>
      <c r="D507" s="62"/>
      <c r="E507" s="74"/>
      <c r="F507" s="62"/>
      <c r="G507" s="62"/>
      <c r="H507" s="62"/>
      <c r="I507" s="79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143"/>
      <c r="V507" s="143"/>
      <c r="W507" s="143"/>
      <c r="X507" s="62"/>
      <c r="Y507" s="62"/>
      <c r="Z507" s="143"/>
      <c r="AA507" s="143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78"/>
      <c r="BD507" s="78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</row>
    <row r="508" ht="15.75" customHeight="1">
      <c r="A508" s="62"/>
      <c r="B508" s="79"/>
      <c r="C508" s="62"/>
      <c r="D508" s="62"/>
      <c r="E508" s="74"/>
      <c r="F508" s="62"/>
      <c r="G508" s="62"/>
      <c r="H508" s="62"/>
      <c r="I508" s="79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143"/>
      <c r="V508" s="143"/>
      <c r="W508" s="143"/>
      <c r="X508" s="62"/>
      <c r="Y508" s="62"/>
      <c r="Z508" s="143"/>
      <c r="AA508" s="143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78"/>
      <c r="BD508" s="78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</row>
    <row r="509" ht="15.75" customHeight="1">
      <c r="A509" s="62"/>
      <c r="B509" s="79"/>
      <c r="C509" s="62"/>
      <c r="D509" s="62"/>
      <c r="E509" s="74"/>
      <c r="F509" s="62"/>
      <c r="G509" s="62"/>
      <c r="H509" s="62"/>
      <c r="I509" s="79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143"/>
      <c r="V509" s="143"/>
      <c r="W509" s="143"/>
      <c r="X509" s="62"/>
      <c r="Y509" s="62"/>
      <c r="Z509" s="143"/>
      <c r="AA509" s="143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78"/>
      <c r="BD509" s="78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</row>
    <row r="510" ht="15.75" customHeight="1">
      <c r="A510" s="62"/>
      <c r="B510" s="79"/>
      <c r="C510" s="62"/>
      <c r="D510" s="62"/>
      <c r="E510" s="74"/>
      <c r="F510" s="62"/>
      <c r="G510" s="62"/>
      <c r="H510" s="62"/>
      <c r="I510" s="79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143"/>
      <c r="V510" s="143"/>
      <c r="W510" s="143"/>
      <c r="X510" s="62"/>
      <c r="Y510" s="62"/>
      <c r="Z510" s="143"/>
      <c r="AA510" s="143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78"/>
      <c r="BD510" s="78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</row>
    <row r="511" ht="15.75" customHeight="1">
      <c r="A511" s="62"/>
      <c r="B511" s="79"/>
      <c r="C511" s="62"/>
      <c r="D511" s="62"/>
      <c r="E511" s="74"/>
      <c r="F511" s="62"/>
      <c r="G511" s="62"/>
      <c r="H511" s="62"/>
      <c r="I511" s="79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143"/>
      <c r="V511" s="143"/>
      <c r="W511" s="143"/>
      <c r="X511" s="62"/>
      <c r="Y511" s="62"/>
      <c r="Z511" s="143"/>
      <c r="AA511" s="143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78"/>
      <c r="BD511" s="78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</row>
    <row r="512" ht="15.75" customHeight="1">
      <c r="A512" s="62"/>
      <c r="B512" s="79"/>
      <c r="C512" s="62"/>
      <c r="D512" s="62"/>
      <c r="E512" s="74"/>
      <c r="F512" s="62"/>
      <c r="G512" s="62"/>
      <c r="H512" s="62"/>
      <c r="I512" s="79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143"/>
      <c r="V512" s="143"/>
      <c r="W512" s="143"/>
      <c r="X512" s="62"/>
      <c r="Y512" s="62"/>
      <c r="Z512" s="143"/>
      <c r="AA512" s="143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78"/>
      <c r="BD512" s="78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</row>
    <row r="513" ht="15.75" customHeight="1">
      <c r="A513" s="62"/>
      <c r="B513" s="79"/>
      <c r="C513" s="62"/>
      <c r="D513" s="62"/>
      <c r="E513" s="74"/>
      <c r="F513" s="62"/>
      <c r="G513" s="62"/>
      <c r="H513" s="62"/>
      <c r="I513" s="79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143"/>
      <c r="V513" s="143"/>
      <c r="W513" s="143"/>
      <c r="X513" s="62"/>
      <c r="Y513" s="62"/>
      <c r="Z513" s="143"/>
      <c r="AA513" s="143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78"/>
      <c r="BD513" s="78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</row>
    <row r="514" ht="15.75" customHeight="1">
      <c r="A514" s="62"/>
      <c r="B514" s="79"/>
      <c r="C514" s="62"/>
      <c r="D514" s="62"/>
      <c r="E514" s="74"/>
      <c r="F514" s="62"/>
      <c r="G514" s="62"/>
      <c r="H514" s="62"/>
      <c r="I514" s="79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143"/>
      <c r="V514" s="143"/>
      <c r="W514" s="143"/>
      <c r="X514" s="62"/>
      <c r="Y514" s="62"/>
      <c r="Z514" s="143"/>
      <c r="AA514" s="143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78"/>
      <c r="BD514" s="78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62"/>
      <c r="BS514" s="62"/>
      <c r="BT514" s="62"/>
      <c r="BU514" s="62"/>
      <c r="BV514" s="62"/>
      <c r="BW514" s="62"/>
      <c r="BX514" s="62"/>
      <c r="BY514" s="62"/>
      <c r="BZ514" s="62"/>
      <c r="CA514" s="62"/>
      <c r="CB514" s="62"/>
    </row>
    <row r="515" ht="15.75" customHeight="1">
      <c r="A515" s="62"/>
      <c r="B515" s="79"/>
      <c r="C515" s="62"/>
      <c r="D515" s="62"/>
      <c r="E515" s="74"/>
      <c r="F515" s="62"/>
      <c r="G515" s="62"/>
      <c r="H515" s="62"/>
      <c r="I515" s="79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143"/>
      <c r="V515" s="143"/>
      <c r="W515" s="143"/>
      <c r="X515" s="62"/>
      <c r="Y515" s="62"/>
      <c r="Z515" s="143"/>
      <c r="AA515" s="143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78"/>
      <c r="BD515" s="78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62"/>
      <c r="BS515" s="62"/>
      <c r="BT515" s="62"/>
      <c r="BU515" s="62"/>
      <c r="BV515" s="62"/>
      <c r="BW515" s="62"/>
      <c r="BX515" s="62"/>
      <c r="BY515" s="62"/>
      <c r="BZ515" s="62"/>
      <c r="CA515" s="62"/>
      <c r="CB515" s="62"/>
    </row>
    <row r="516" ht="15.75" customHeight="1">
      <c r="A516" s="62"/>
      <c r="B516" s="79"/>
      <c r="C516" s="62"/>
      <c r="D516" s="62"/>
      <c r="E516" s="74"/>
      <c r="F516" s="62"/>
      <c r="G516" s="62"/>
      <c r="H516" s="62"/>
      <c r="I516" s="79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143"/>
      <c r="V516" s="143"/>
      <c r="W516" s="143"/>
      <c r="X516" s="62"/>
      <c r="Y516" s="62"/>
      <c r="Z516" s="143"/>
      <c r="AA516" s="143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78"/>
      <c r="BD516" s="78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62"/>
      <c r="BS516" s="62"/>
      <c r="BT516" s="62"/>
      <c r="BU516" s="62"/>
      <c r="BV516" s="62"/>
      <c r="BW516" s="62"/>
      <c r="BX516" s="62"/>
      <c r="BY516" s="62"/>
      <c r="BZ516" s="62"/>
      <c r="CA516" s="62"/>
      <c r="CB516" s="62"/>
    </row>
    <row r="517" ht="15.75" customHeight="1">
      <c r="A517" s="62"/>
      <c r="B517" s="79"/>
      <c r="C517" s="62"/>
      <c r="D517" s="62"/>
      <c r="E517" s="74"/>
      <c r="F517" s="62"/>
      <c r="G517" s="62"/>
      <c r="H517" s="62"/>
      <c r="I517" s="79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143"/>
      <c r="V517" s="143"/>
      <c r="W517" s="143"/>
      <c r="X517" s="62"/>
      <c r="Y517" s="62"/>
      <c r="Z517" s="143"/>
      <c r="AA517" s="143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78"/>
      <c r="BD517" s="78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  <c r="BS517" s="62"/>
      <c r="BT517" s="62"/>
      <c r="BU517" s="62"/>
      <c r="BV517" s="62"/>
      <c r="BW517" s="62"/>
      <c r="BX517" s="62"/>
      <c r="BY517" s="62"/>
      <c r="BZ517" s="62"/>
      <c r="CA517" s="62"/>
      <c r="CB517" s="62"/>
    </row>
    <row r="518" ht="15.75" customHeight="1">
      <c r="A518" s="62"/>
      <c r="B518" s="79"/>
      <c r="C518" s="62"/>
      <c r="D518" s="62"/>
      <c r="E518" s="74"/>
      <c r="F518" s="62"/>
      <c r="G518" s="62"/>
      <c r="H518" s="62"/>
      <c r="I518" s="79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143"/>
      <c r="V518" s="143"/>
      <c r="W518" s="143"/>
      <c r="X518" s="62"/>
      <c r="Y518" s="62"/>
      <c r="Z518" s="143"/>
      <c r="AA518" s="143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78"/>
      <c r="BD518" s="78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62"/>
      <c r="BS518" s="62"/>
      <c r="BT518" s="62"/>
      <c r="BU518" s="62"/>
      <c r="BV518" s="62"/>
      <c r="BW518" s="62"/>
      <c r="BX518" s="62"/>
      <c r="BY518" s="62"/>
      <c r="BZ518" s="62"/>
      <c r="CA518" s="62"/>
      <c r="CB518" s="62"/>
    </row>
    <row r="519" ht="15.75" customHeight="1">
      <c r="A519" s="62"/>
      <c r="B519" s="79"/>
      <c r="C519" s="62"/>
      <c r="D519" s="62"/>
      <c r="E519" s="74"/>
      <c r="F519" s="62"/>
      <c r="G519" s="62"/>
      <c r="H519" s="62"/>
      <c r="I519" s="79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143"/>
      <c r="V519" s="143"/>
      <c r="W519" s="143"/>
      <c r="X519" s="62"/>
      <c r="Y519" s="62"/>
      <c r="Z519" s="143"/>
      <c r="AA519" s="143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78"/>
      <c r="BD519" s="78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</row>
    <row r="520" ht="15.75" customHeight="1">
      <c r="A520" s="62"/>
      <c r="B520" s="79"/>
      <c r="C520" s="62"/>
      <c r="D520" s="62"/>
      <c r="E520" s="74"/>
      <c r="F520" s="62"/>
      <c r="G520" s="62"/>
      <c r="H520" s="62"/>
      <c r="I520" s="79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143"/>
      <c r="V520" s="143"/>
      <c r="W520" s="143"/>
      <c r="X520" s="62"/>
      <c r="Y520" s="62"/>
      <c r="Z520" s="143"/>
      <c r="AA520" s="143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78"/>
      <c r="BD520" s="78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</row>
    <row r="521" ht="15.75" customHeight="1">
      <c r="A521" s="62"/>
      <c r="B521" s="79"/>
      <c r="C521" s="62"/>
      <c r="D521" s="62"/>
      <c r="E521" s="74"/>
      <c r="F521" s="62"/>
      <c r="G521" s="62"/>
      <c r="H521" s="62"/>
      <c r="I521" s="79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143"/>
      <c r="V521" s="143"/>
      <c r="W521" s="143"/>
      <c r="X521" s="62"/>
      <c r="Y521" s="62"/>
      <c r="Z521" s="143"/>
      <c r="AA521" s="143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78"/>
      <c r="BD521" s="78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</row>
    <row r="522" ht="15.75" customHeight="1">
      <c r="A522" s="62"/>
      <c r="B522" s="79"/>
      <c r="C522" s="62"/>
      <c r="D522" s="62"/>
      <c r="E522" s="74"/>
      <c r="F522" s="62"/>
      <c r="G522" s="62"/>
      <c r="H522" s="62"/>
      <c r="I522" s="79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143"/>
      <c r="V522" s="143"/>
      <c r="W522" s="143"/>
      <c r="X522" s="62"/>
      <c r="Y522" s="62"/>
      <c r="Z522" s="143"/>
      <c r="AA522" s="143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78"/>
      <c r="BD522" s="78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62"/>
      <c r="BS522" s="62"/>
      <c r="BT522" s="62"/>
      <c r="BU522" s="62"/>
      <c r="BV522" s="62"/>
      <c r="BW522" s="62"/>
      <c r="BX522" s="62"/>
      <c r="BY522" s="62"/>
      <c r="BZ522" s="62"/>
      <c r="CA522" s="62"/>
      <c r="CB522" s="62"/>
    </row>
    <row r="523" ht="15.75" customHeight="1">
      <c r="A523" s="62"/>
      <c r="B523" s="79"/>
      <c r="C523" s="62"/>
      <c r="D523" s="62"/>
      <c r="E523" s="74"/>
      <c r="F523" s="62"/>
      <c r="G523" s="62"/>
      <c r="H523" s="62"/>
      <c r="I523" s="79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143"/>
      <c r="V523" s="143"/>
      <c r="W523" s="143"/>
      <c r="X523" s="62"/>
      <c r="Y523" s="62"/>
      <c r="Z523" s="143"/>
      <c r="AA523" s="143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78"/>
      <c r="BD523" s="78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62"/>
      <c r="BS523" s="62"/>
      <c r="BT523" s="62"/>
      <c r="BU523" s="62"/>
      <c r="BV523" s="62"/>
      <c r="BW523" s="62"/>
      <c r="BX523" s="62"/>
      <c r="BY523" s="62"/>
      <c r="BZ523" s="62"/>
      <c r="CA523" s="62"/>
      <c r="CB523" s="62"/>
    </row>
    <row r="524" ht="15.75" customHeight="1">
      <c r="A524" s="62"/>
      <c r="B524" s="79"/>
      <c r="C524" s="62"/>
      <c r="D524" s="62"/>
      <c r="E524" s="74"/>
      <c r="F524" s="62"/>
      <c r="G524" s="62"/>
      <c r="H524" s="62"/>
      <c r="I524" s="79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143"/>
      <c r="V524" s="143"/>
      <c r="W524" s="143"/>
      <c r="X524" s="62"/>
      <c r="Y524" s="62"/>
      <c r="Z524" s="143"/>
      <c r="AA524" s="143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78"/>
      <c r="BD524" s="78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62"/>
      <c r="BS524" s="62"/>
      <c r="BT524" s="62"/>
      <c r="BU524" s="62"/>
      <c r="BV524" s="62"/>
      <c r="BW524" s="62"/>
      <c r="BX524" s="62"/>
      <c r="BY524" s="62"/>
      <c r="BZ524" s="62"/>
      <c r="CA524" s="62"/>
      <c r="CB524" s="62"/>
    </row>
    <row r="525" ht="15.75" customHeight="1">
      <c r="A525" s="62"/>
      <c r="B525" s="79"/>
      <c r="C525" s="62"/>
      <c r="D525" s="62"/>
      <c r="E525" s="74"/>
      <c r="F525" s="62"/>
      <c r="G525" s="62"/>
      <c r="H525" s="62"/>
      <c r="I525" s="79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143"/>
      <c r="V525" s="143"/>
      <c r="W525" s="143"/>
      <c r="X525" s="62"/>
      <c r="Y525" s="62"/>
      <c r="Z525" s="143"/>
      <c r="AA525" s="143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78"/>
      <c r="BD525" s="78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62"/>
      <c r="BS525" s="62"/>
      <c r="BT525" s="62"/>
      <c r="BU525" s="62"/>
      <c r="BV525" s="62"/>
      <c r="BW525" s="62"/>
      <c r="BX525" s="62"/>
      <c r="BY525" s="62"/>
      <c r="BZ525" s="62"/>
      <c r="CA525" s="62"/>
      <c r="CB525" s="62"/>
    </row>
    <row r="526" ht="15.75" customHeight="1">
      <c r="A526" s="62"/>
      <c r="B526" s="79"/>
      <c r="C526" s="62"/>
      <c r="D526" s="62"/>
      <c r="E526" s="74"/>
      <c r="F526" s="62"/>
      <c r="G526" s="62"/>
      <c r="H526" s="62"/>
      <c r="I526" s="79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143"/>
      <c r="V526" s="143"/>
      <c r="W526" s="143"/>
      <c r="X526" s="62"/>
      <c r="Y526" s="62"/>
      <c r="Z526" s="143"/>
      <c r="AA526" s="143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78"/>
      <c r="BD526" s="78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  <c r="BS526" s="62"/>
      <c r="BT526" s="62"/>
      <c r="BU526" s="62"/>
      <c r="BV526" s="62"/>
      <c r="BW526" s="62"/>
      <c r="BX526" s="62"/>
      <c r="BY526" s="62"/>
      <c r="BZ526" s="62"/>
      <c r="CA526" s="62"/>
      <c r="CB526" s="62"/>
    </row>
    <row r="527" ht="15.75" customHeight="1">
      <c r="A527" s="62"/>
      <c r="B527" s="79"/>
      <c r="C527" s="62"/>
      <c r="D527" s="62"/>
      <c r="E527" s="74"/>
      <c r="F527" s="62"/>
      <c r="G527" s="62"/>
      <c r="H527" s="62"/>
      <c r="I527" s="79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143"/>
      <c r="V527" s="143"/>
      <c r="W527" s="143"/>
      <c r="X527" s="62"/>
      <c r="Y527" s="62"/>
      <c r="Z527" s="143"/>
      <c r="AA527" s="143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78"/>
      <c r="BD527" s="78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62"/>
      <c r="BS527" s="62"/>
      <c r="BT527" s="62"/>
      <c r="BU527" s="62"/>
      <c r="BV527" s="62"/>
      <c r="BW527" s="62"/>
      <c r="BX527" s="62"/>
      <c r="BY527" s="62"/>
      <c r="BZ527" s="62"/>
      <c r="CA527" s="62"/>
      <c r="CB527" s="62"/>
    </row>
    <row r="528" ht="15.75" customHeight="1">
      <c r="A528" s="62"/>
      <c r="B528" s="79"/>
      <c r="C528" s="62"/>
      <c r="D528" s="62"/>
      <c r="E528" s="74"/>
      <c r="F528" s="62"/>
      <c r="G528" s="62"/>
      <c r="H528" s="62"/>
      <c r="I528" s="79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143"/>
      <c r="V528" s="143"/>
      <c r="W528" s="143"/>
      <c r="X528" s="62"/>
      <c r="Y528" s="62"/>
      <c r="Z528" s="143"/>
      <c r="AA528" s="143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78"/>
      <c r="BD528" s="78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62"/>
      <c r="BS528" s="62"/>
      <c r="BT528" s="62"/>
      <c r="BU528" s="62"/>
      <c r="BV528" s="62"/>
      <c r="BW528" s="62"/>
      <c r="BX528" s="62"/>
      <c r="BY528" s="62"/>
      <c r="BZ528" s="62"/>
      <c r="CA528" s="62"/>
      <c r="CB528" s="62"/>
    </row>
    <row r="529" ht="15.75" customHeight="1">
      <c r="A529" s="62"/>
      <c r="B529" s="79"/>
      <c r="C529" s="62"/>
      <c r="D529" s="62"/>
      <c r="E529" s="74"/>
      <c r="F529" s="62"/>
      <c r="G529" s="62"/>
      <c r="H529" s="62"/>
      <c r="I529" s="79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143"/>
      <c r="V529" s="143"/>
      <c r="W529" s="143"/>
      <c r="X529" s="62"/>
      <c r="Y529" s="62"/>
      <c r="Z529" s="143"/>
      <c r="AA529" s="143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78"/>
      <c r="BD529" s="78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62"/>
      <c r="BS529" s="62"/>
      <c r="BT529" s="62"/>
      <c r="BU529" s="62"/>
      <c r="BV529" s="62"/>
      <c r="BW529" s="62"/>
      <c r="BX529" s="62"/>
      <c r="BY529" s="62"/>
      <c r="BZ529" s="62"/>
      <c r="CA529" s="62"/>
      <c r="CB529" s="62"/>
    </row>
    <row r="530" ht="15.75" customHeight="1">
      <c r="A530" s="62"/>
      <c r="B530" s="79"/>
      <c r="C530" s="62"/>
      <c r="D530" s="62"/>
      <c r="E530" s="74"/>
      <c r="F530" s="62"/>
      <c r="G530" s="62"/>
      <c r="H530" s="62"/>
      <c r="I530" s="79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143"/>
      <c r="V530" s="143"/>
      <c r="W530" s="143"/>
      <c r="X530" s="62"/>
      <c r="Y530" s="62"/>
      <c r="Z530" s="143"/>
      <c r="AA530" s="143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78"/>
      <c r="BD530" s="78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62"/>
      <c r="BS530" s="62"/>
      <c r="BT530" s="62"/>
      <c r="BU530" s="62"/>
      <c r="BV530" s="62"/>
      <c r="BW530" s="62"/>
      <c r="BX530" s="62"/>
      <c r="BY530" s="62"/>
      <c r="BZ530" s="62"/>
      <c r="CA530" s="62"/>
      <c r="CB530" s="62"/>
    </row>
    <row r="531" ht="15.75" customHeight="1">
      <c r="A531" s="62"/>
      <c r="B531" s="79"/>
      <c r="C531" s="62"/>
      <c r="D531" s="62"/>
      <c r="E531" s="74"/>
      <c r="F531" s="62"/>
      <c r="G531" s="62"/>
      <c r="H531" s="62"/>
      <c r="I531" s="79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143"/>
      <c r="V531" s="143"/>
      <c r="W531" s="143"/>
      <c r="X531" s="62"/>
      <c r="Y531" s="62"/>
      <c r="Z531" s="143"/>
      <c r="AA531" s="143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78"/>
      <c r="BD531" s="78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62"/>
      <c r="BS531" s="62"/>
      <c r="BT531" s="62"/>
      <c r="BU531" s="62"/>
      <c r="BV531" s="62"/>
      <c r="BW531" s="62"/>
      <c r="BX531" s="62"/>
      <c r="BY531" s="62"/>
      <c r="BZ531" s="62"/>
      <c r="CA531" s="62"/>
      <c r="CB531" s="62"/>
    </row>
    <row r="532" ht="15.75" customHeight="1">
      <c r="A532" s="62"/>
      <c r="B532" s="79"/>
      <c r="C532" s="62"/>
      <c r="D532" s="62"/>
      <c r="E532" s="74"/>
      <c r="F532" s="62"/>
      <c r="G532" s="62"/>
      <c r="H532" s="62"/>
      <c r="I532" s="79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143"/>
      <c r="V532" s="143"/>
      <c r="W532" s="143"/>
      <c r="X532" s="62"/>
      <c r="Y532" s="62"/>
      <c r="Z532" s="143"/>
      <c r="AA532" s="143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78"/>
      <c r="BD532" s="78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62"/>
      <c r="BS532" s="62"/>
      <c r="BT532" s="62"/>
      <c r="BU532" s="62"/>
      <c r="BV532" s="62"/>
      <c r="BW532" s="62"/>
      <c r="BX532" s="62"/>
      <c r="BY532" s="62"/>
      <c r="BZ532" s="62"/>
      <c r="CA532" s="62"/>
      <c r="CB532" s="62"/>
    </row>
    <row r="533" ht="15.75" customHeight="1">
      <c r="A533" s="62"/>
      <c r="B533" s="79"/>
      <c r="C533" s="62"/>
      <c r="D533" s="62"/>
      <c r="E533" s="74"/>
      <c r="F533" s="62"/>
      <c r="G533" s="62"/>
      <c r="H533" s="62"/>
      <c r="I533" s="79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143"/>
      <c r="V533" s="143"/>
      <c r="W533" s="143"/>
      <c r="X533" s="62"/>
      <c r="Y533" s="62"/>
      <c r="Z533" s="143"/>
      <c r="AA533" s="143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78"/>
      <c r="BD533" s="78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62"/>
      <c r="BS533" s="62"/>
      <c r="BT533" s="62"/>
      <c r="BU533" s="62"/>
      <c r="BV533" s="62"/>
      <c r="BW533" s="62"/>
      <c r="BX533" s="62"/>
      <c r="BY533" s="62"/>
      <c r="BZ533" s="62"/>
      <c r="CA533" s="62"/>
      <c r="CB533" s="62"/>
    </row>
    <row r="534" ht="15.75" customHeight="1">
      <c r="A534" s="62"/>
      <c r="B534" s="79"/>
      <c r="C534" s="62"/>
      <c r="D534" s="62"/>
      <c r="E534" s="74"/>
      <c r="F534" s="62"/>
      <c r="G534" s="62"/>
      <c r="H534" s="62"/>
      <c r="I534" s="79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143"/>
      <c r="V534" s="143"/>
      <c r="W534" s="143"/>
      <c r="X534" s="62"/>
      <c r="Y534" s="62"/>
      <c r="Z534" s="143"/>
      <c r="AA534" s="143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78"/>
      <c r="BD534" s="78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62"/>
      <c r="BS534" s="62"/>
      <c r="BT534" s="62"/>
      <c r="BU534" s="62"/>
      <c r="BV534" s="62"/>
      <c r="BW534" s="62"/>
      <c r="BX534" s="62"/>
      <c r="BY534" s="62"/>
      <c r="BZ534" s="62"/>
      <c r="CA534" s="62"/>
      <c r="CB534" s="62"/>
    </row>
    <row r="535" ht="15.75" customHeight="1">
      <c r="A535" s="62"/>
      <c r="B535" s="79"/>
      <c r="C535" s="62"/>
      <c r="D535" s="62"/>
      <c r="E535" s="74"/>
      <c r="F535" s="62"/>
      <c r="G535" s="62"/>
      <c r="H535" s="62"/>
      <c r="I535" s="79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143"/>
      <c r="V535" s="143"/>
      <c r="W535" s="143"/>
      <c r="X535" s="62"/>
      <c r="Y535" s="62"/>
      <c r="Z535" s="143"/>
      <c r="AA535" s="143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78"/>
      <c r="BD535" s="78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62"/>
      <c r="BS535" s="62"/>
      <c r="BT535" s="62"/>
      <c r="BU535" s="62"/>
      <c r="BV535" s="62"/>
      <c r="BW535" s="62"/>
      <c r="BX535" s="62"/>
      <c r="BY535" s="62"/>
      <c r="BZ535" s="62"/>
      <c r="CA535" s="62"/>
      <c r="CB535" s="62"/>
    </row>
    <row r="536" ht="15.75" customHeight="1">
      <c r="A536" s="62"/>
      <c r="B536" s="79"/>
      <c r="C536" s="62"/>
      <c r="D536" s="62"/>
      <c r="E536" s="74"/>
      <c r="F536" s="62"/>
      <c r="G536" s="62"/>
      <c r="H536" s="62"/>
      <c r="I536" s="79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143"/>
      <c r="V536" s="143"/>
      <c r="W536" s="143"/>
      <c r="X536" s="62"/>
      <c r="Y536" s="62"/>
      <c r="Z536" s="143"/>
      <c r="AA536" s="143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78"/>
      <c r="BD536" s="78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62"/>
      <c r="BS536" s="62"/>
      <c r="BT536" s="62"/>
      <c r="BU536" s="62"/>
      <c r="BV536" s="62"/>
      <c r="BW536" s="62"/>
      <c r="BX536" s="62"/>
      <c r="BY536" s="62"/>
      <c r="BZ536" s="62"/>
      <c r="CA536" s="62"/>
      <c r="CB536" s="62"/>
    </row>
    <row r="537" ht="15.75" customHeight="1">
      <c r="A537" s="62"/>
      <c r="B537" s="79"/>
      <c r="C537" s="62"/>
      <c r="D537" s="62"/>
      <c r="E537" s="74"/>
      <c r="F537" s="62"/>
      <c r="G537" s="62"/>
      <c r="H537" s="62"/>
      <c r="I537" s="79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143"/>
      <c r="V537" s="143"/>
      <c r="W537" s="143"/>
      <c r="X537" s="62"/>
      <c r="Y537" s="62"/>
      <c r="Z537" s="143"/>
      <c r="AA537" s="143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78"/>
      <c r="BD537" s="78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62"/>
      <c r="BS537" s="62"/>
      <c r="BT537" s="62"/>
      <c r="BU537" s="62"/>
      <c r="BV537" s="62"/>
      <c r="BW537" s="62"/>
      <c r="BX537" s="62"/>
      <c r="BY537" s="62"/>
      <c r="BZ537" s="62"/>
      <c r="CA537" s="62"/>
      <c r="CB537" s="62"/>
    </row>
    <row r="538" ht="15.75" customHeight="1">
      <c r="A538" s="62"/>
      <c r="B538" s="79"/>
      <c r="C538" s="62"/>
      <c r="D538" s="62"/>
      <c r="E538" s="74"/>
      <c r="F538" s="62"/>
      <c r="G538" s="62"/>
      <c r="H538" s="62"/>
      <c r="I538" s="79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143"/>
      <c r="V538" s="143"/>
      <c r="W538" s="143"/>
      <c r="X538" s="62"/>
      <c r="Y538" s="62"/>
      <c r="Z538" s="143"/>
      <c r="AA538" s="143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78"/>
      <c r="BD538" s="78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62"/>
      <c r="BS538" s="62"/>
      <c r="BT538" s="62"/>
      <c r="BU538" s="62"/>
      <c r="BV538" s="62"/>
      <c r="BW538" s="62"/>
      <c r="BX538" s="62"/>
      <c r="BY538" s="62"/>
      <c r="BZ538" s="62"/>
      <c r="CA538" s="62"/>
      <c r="CB538" s="62"/>
    </row>
    <row r="539" ht="15.75" customHeight="1">
      <c r="A539" s="62"/>
      <c r="B539" s="79"/>
      <c r="C539" s="62"/>
      <c r="D539" s="62"/>
      <c r="E539" s="74"/>
      <c r="F539" s="62"/>
      <c r="G539" s="62"/>
      <c r="H539" s="62"/>
      <c r="I539" s="79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143"/>
      <c r="V539" s="143"/>
      <c r="W539" s="143"/>
      <c r="X539" s="62"/>
      <c r="Y539" s="62"/>
      <c r="Z539" s="143"/>
      <c r="AA539" s="143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78"/>
      <c r="BD539" s="78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  <c r="BS539" s="62"/>
      <c r="BT539" s="62"/>
      <c r="BU539" s="62"/>
      <c r="BV539" s="62"/>
      <c r="BW539" s="62"/>
      <c r="BX539" s="62"/>
      <c r="BY539" s="62"/>
      <c r="BZ539" s="62"/>
      <c r="CA539" s="62"/>
      <c r="CB539" s="62"/>
    </row>
    <row r="540" ht="15.75" customHeight="1">
      <c r="A540" s="62"/>
      <c r="B540" s="79"/>
      <c r="C540" s="62"/>
      <c r="D540" s="62"/>
      <c r="E540" s="74"/>
      <c r="F540" s="62"/>
      <c r="G540" s="62"/>
      <c r="H540" s="62"/>
      <c r="I540" s="79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143"/>
      <c r="V540" s="143"/>
      <c r="W540" s="143"/>
      <c r="X540" s="62"/>
      <c r="Y540" s="62"/>
      <c r="Z540" s="143"/>
      <c r="AA540" s="143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78"/>
      <c r="BD540" s="78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62"/>
      <c r="BS540" s="62"/>
      <c r="BT540" s="62"/>
      <c r="BU540" s="62"/>
      <c r="BV540" s="62"/>
      <c r="BW540" s="62"/>
      <c r="BX540" s="62"/>
      <c r="BY540" s="62"/>
      <c r="BZ540" s="62"/>
      <c r="CA540" s="62"/>
      <c r="CB540" s="62"/>
    </row>
    <row r="541" ht="15.75" customHeight="1">
      <c r="A541" s="62"/>
      <c r="B541" s="79"/>
      <c r="C541" s="62"/>
      <c r="D541" s="62"/>
      <c r="E541" s="74"/>
      <c r="F541" s="62"/>
      <c r="G541" s="62"/>
      <c r="H541" s="62"/>
      <c r="I541" s="79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143"/>
      <c r="V541" s="143"/>
      <c r="W541" s="143"/>
      <c r="X541" s="62"/>
      <c r="Y541" s="62"/>
      <c r="Z541" s="143"/>
      <c r="AA541" s="143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78"/>
      <c r="BD541" s="78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62"/>
      <c r="BS541" s="62"/>
      <c r="BT541" s="62"/>
      <c r="BU541" s="62"/>
      <c r="BV541" s="62"/>
      <c r="BW541" s="62"/>
      <c r="BX541" s="62"/>
      <c r="BY541" s="62"/>
      <c r="BZ541" s="62"/>
      <c r="CA541" s="62"/>
      <c r="CB541" s="62"/>
    </row>
    <row r="542" ht="15.75" customHeight="1">
      <c r="A542" s="62"/>
      <c r="B542" s="79"/>
      <c r="C542" s="62"/>
      <c r="D542" s="62"/>
      <c r="E542" s="74"/>
      <c r="F542" s="62"/>
      <c r="G542" s="62"/>
      <c r="H542" s="62"/>
      <c r="I542" s="79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143"/>
      <c r="V542" s="143"/>
      <c r="W542" s="143"/>
      <c r="X542" s="62"/>
      <c r="Y542" s="62"/>
      <c r="Z542" s="143"/>
      <c r="AA542" s="143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78"/>
      <c r="BD542" s="78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</row>
    <row r="543" ht="15.75" customHeight="1">
      <c r="A543" s="62"/>
      <c r="B543" s="79"/>
      <c r="C543" s="62"/>
      <c r="D543" s="62"/>
      <c r="E543" s="74"/>
      <c r="F543" s="62"/>
      <c r="G543" s="62"/>
      <c r="H543" s="62"/>
      <c r="I543" s="79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143"/>
      <c r="V543" s="143"/>
      <c r="W543" s="143"/>
      <c r="X543" s="62"/>
      <c r="Y543" s="62"/>
      <c r="Z543" s="143"/>
      <c r="AA543" s="143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78"/>
      <c r="BD543" s="78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</row>
    <row r="544" ht="15.75" customHeight="1">
      <c r="A544" s="62"/>
      <c r="B544" s="79"/>
      <c r="C544" s="62"/>
      <c r="D544" s="62"/>
      <c r="E544" s="74"/>
      <c r="F544" s="62"/>
      <c r="G544" s="62"/>
      <c r="H544" s="62"/>
      <c r="I544" s="79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143"/>
      <c r="V544" s="143"/>
      <c r="W544" s="143"/>
      <c r="X544" s="62"/>
      <c r="Y544" s="62"/>
      <c r="Z544" s="143"/>
      <c r="AA544" s="143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78"/>
      <c r="BD544" s="78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</row>
    <row r="545" ht="15.75" customHeight="1">
      <c r="A545" s="62"/>
      <c r="B545" s="79"/>
      <c r="C545" s="62"/>
      <c r="D545" s="62"/>
      <c r="E545" s="74"/>
      <c r="F545" s="62"/>
      <c r="G545" s="62"/>
      <c r="H545" s="62"/>
      <c r="I545" s="79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143"/>
      <c r="V545" s="143"/>
      <c r="W545" s="143"/>
      <c r="X545" s="62"/>
      <c r="Y545" s="62"/>
      <c r="Z545" s="143"/>
      <c r="AA545" s="143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78"/>
      <c r="BD545" s="78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</row>
    <row r="546" ht="15.75" customHeight="1">
      <c r="A546" s="62"/>
      <c r="B546" s="79"/>
      <c r="C546" s="62"/>
      <c r="D546" s="62"/>
      <c r="E546" s="74"/>
      <c r="F546" s="62"/>
      <c r="G546" s="62"/>
      <c r="H546" s="62"/>
      <c r="I546" s="79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143"/>
      <c r="V546" s="143"/>
      <c r="W546" s="143"/>
      <c r="X546" s="62"/>
      <c r="Y546" s="62"/>
      <c r="Z546" s="143"/>
      <c r="AA546" s="143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78"/>
      <c r="BD546" s="78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</row>
    <row r="547" ht="15.75" customHeight="1">
      <c r="A547" s="62"/>
      <c r="B547" s="79"/>
      <c r="C547" s="62"/>
      <c r="D547" s="62"/>
      <c r="E547" s="74"/>
      <c r="F547" s="62"/>
      <c r="G547" s="62"/>
      <c r="H547" s="62"/>
      <c r="I547" s="79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143"/>
      <c r="V547" s="143"/>
      <c r="W547" s="143"/>
      <c r="X547" s="62"/>
      <c r="Y547" s="62"/>
      <c r="Z547" s="143"/>
      <c r="AA547" s="143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78"/>
      <c r="BD547" s="78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</row>
    <row r="548" ht="15.75" customHeight="1">
      <c r="A548" s="62"/>
      <c r="B548" s="79"/>
      <c r="C548" s="62"/>
      <c r="D548" s="62"/>
      <c r="E548" s="74"/>
      <c r="F548" s="62"/>
      <c r="G548" s="62"/>
      <c r="H548" s="62"/>
      <c r="I548" s="79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143"/>
      <c r="V548" s="143"/>
      <c r="W548" s="143"/>
      <c r="X548" s="62"/>
      <c r="Y548" s="62"/>
      <c r="Z548" s="143"/>
      <c r="AA548" s="143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78"/>
      <c r="BD548" s="78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</row>
    <row r="549" ht="15.75" customHeight="1">
      <c r="A549" s="62"/>
      <c r="B549" s="79"/>
      <c r="C549" s="62"/>
      <c r="D549" s="62"/>
      <c r="E549" s="74"/>
      <c r="F549" s="62"/>
      <c r="G549" s="62"/>
      <c r="H549" s="62"/>
      <c r="I549" s="79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143"/>
      <c r="V549" s="143"/>
      <c r="W549" s="143"/>
      <c r="X549" s="62"/>
      <c r="Y549" s="62"/>
      <c r="Z549" s="143"/>
      <c r="AA549" s="143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78"/>
      <c r="BD549" s="78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</row>
    <row r="550" ht="15.75" customHeight="1">
      <c r="A550" s="62"/>
      <c r="B550" s="79"/>
      <c r="C550" s="62"/>
      <c r="D550" s="62"/>
      <c r="E550" s="74"/>
      <c r="F550" s="62"/>
      <c r="G550" s="62"/>
      <c r="H550" s="62"/>
      <c r="I550" s="79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143"/>
      <c r="V550" s="143"/>
      <c r="W550" s="143"/>
      <c r="X550" s="62"/>
      <c r="Y550" s="62"/>
      <c r="Z550" s="143"/>
      <c r="AA550" s="143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78"/>
      <c r="BD550" s="78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</row>
    <row r="551" ht="15.75" customHeight="1">
      <c r="A551" s="62"/>
      <c r="B551" s="79"/>
      <c r="C551" s="62"/>
      <c r="D551" s="62"/>
      <c r="E551" s="74"/>
      <c r="F551" s="62"/>
      <c r="G551" s="62"/>
      <c r="H551" s="62"/>
      <c r="I551" s="79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143"/>
      <c r="V551" s="143"/>
      <c r="W551" s="143"/>
      <c r="X551" s="62"/>
      <c r="Y551" s="62"/>
      <c r="Z551" s="143"/>
      <c r="AA551" s="143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78"/>
      <c r="BD551" s="78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</row>
    <row r="552" ht="15.75" customHeight="1">
      <c r="A552" s="62"/>
      <c r="B552" s="79"/>
      <c r="C552" s="62"/>
      <c r="D552" s="62"/>
      <c r="E552" s="74"/>
      <c r="F552" s="62"/>
      <c r="G552" s="62"/>
      <c r="H552" s="62"/>
      <c r="I552" s="79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143"/>
      <c r="V552" s="143"/>
      <c r="W552" s="143"/>
      <c r="X552" s="62"/>
      <c r="Y552" s="62"/>
      <c r="Z552" s="143"/>
      <c r="AA552" s="143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78"/>
      <c r="BD552" s="78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62"/>
      <c r="BS552" s="62"/>
      <c r="BT552" s="62"/>
      <c r="BU552" s="62"/>
      <c r="BV552" s="62"/>
      <c r="BW552" s="62"/>
      <c r="BX552" s="62"/>
      <c r="BY552" s="62"/>
      <c r="BZ552" s="62"/>
      <c r="CA552" s="62"/>
      <c r="CB552" s="62"/>
    </row>
    <row r="553" ht="15.75" customHeight="1">
      <c r="A553" s="62"/>
      <c r="B553" s="79"/>
      <c r="C553" s="62"/>
      <c r="D553" s="62"/>
      <c r="E553" s="74"/>
      <c r="F553" s="62"/>
      <c r="G553" s="62"/>
      <c r="H553" s="62"/>
      <c r="I553" s="79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143"/>
      <c r="V553" s="143"/>
      <c r="W553" s="143"/>
      <c r="X553" s="62"/>
      <c r="Y553" s="62"/>
      <c r="Z553" s="143"/>
      <c r="AA553" s="143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78"/>
      <c r="BD553" s="78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  <c r="BS553" s="62"/>
      <c r="BT553" s="62"/>
      <c r="BU553" s="62"/>
      <c r="BV553" s="62"/>
      <c r="BW553" s="62"/>
      <c r="BX553" s="62"/>
      <c r="BY553" s="62"/>
      <c r="BZ553" s="62"/>
      <c r="CA553" s="62"/>
      <c r="CB553" s="62"/>
    </row>
    <row r="554" ht="15.75" customHeight="1">
      <c r="A554" s="62"/>
      <c r="B554" s="79"/>
      <c r="C554" s="62"/>
      <c r="D554" s="62"/>
      <c r="E554" s="74"/>
      <c r="F554" s="62"/>
      <c r="G554" s="62"/>
      <c r="H554" s="62"/>
      <c r="I554" s="79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143"/>
      <c r="V554" s="143"/>
      <c r="W554" s="143"/>
      <c r="X554" s="62"/>
      <c r="Y554" s="62"/>
      <c r="Z554" s="143"/>
      <c r="AA554" s="143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78"/>
      <c r="BD554" s="78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62"/>
      <c r="BS554" s="62"/>
      <c r="BT554" s="62"/>
      <c r="BU554" s="62"/>
      <c r="BV554" s="62"/>
      <c r="BW554" s="62"/>
      <c r="BX554" s="62"/>
      <c r="BY554" s="62"/>
      <c r="BZ554" s="62"/>
      <c r="CA554" s="62"/>
      <c r="CB554" s="62"/>
    </row>
    <row r="555" ht="15.75" customHeight="1">
      <c r="A555" s="62"/>
      <c r="B555" s="79"/>
      <c r="C555" s="62"/>
      <c r="D555" s="62"/>
      <c r="E555" s="74"/>
      <c r="F555" s="62"/>
      <c r="G555" s="62"/>
      <c r="H555" s="62"/>
      <c r="I555" s="79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143"/>
      <c r="V555" s="143"/>
      <c r="W555" s="143"/>
      <c r="X555" s="62"/>
      <c r="Y555" s="62"/>
      <c r="Z555" s="143"/>
      <c r="AA555" s="143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78"/>
      <c r="BD555" s="78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  <c r="BS555" s="62"/>
      <c r="BT555" s="62"/>
      <c r="BU555" s="62"/>
      <c r="BV555" s="62"/>
      <c r="BW555" s="62"/>
      <c r="BX555" s="62"/>
      <c r="BY555" s="62"/>
      <c r="BZ555" s="62"/>
      <c r="CA555" s="62"/>
      <c r="CB555" s="62"/>
    </row>
    <row r="556" ht="15.75" customHeight="1">
      <c r="A556" s="62"/>
      <c r="B556" s="79"/>
      <c r="C556" s="62"/>
      <c r="D556" s="62"/>
      <c r="E556" s="74"/>
      <c r="F556" s="62"/>
      <c r="G556" s="62"/>
      <c r="H556" s="62"/>
      <c r="I556" s="79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143"/>
      <c r="V556" s="143"/>
      <c r="W556" s="143"/>
      <c r="X556" s="62"/>
      <c r="Y556" s="62"/>
      <c r="Z556" s="143"/>
      <c r="AA556" s="143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78"/>
      <c r="BD556" s="78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</row>
    <row r="557" ht="15.75" customHeight="1">
      <c r="A557" s="62"/>
      <c r="B557" s="79"/>
      <c r="C557" s="62"/>
      <c r="D557" s="62"/>
      <c r="E557" s="74"/>
      <c r="F557" s="62"/>
      <c r="G557" s="62"/>
      <c r="H557" s="62"/>
      <c r="I557" s="79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143"/>
      <c r="V557" s="143"/>
      <c r="W557" s="143"/>
      <c r="X557" s="62"/>
      <c r="Y557" s="62"/>
      <c r="Z557" s="143"/>
      <c r="AA557" s="143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78"/>
      <c r="BD557" s="78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</row>
    <row r="558" ht="15.75" customHeight="1">
      <c r="A558" s="62"/>
      <c r="B558" s="79"/>
      <c r="C558" s="62"/>
      <c r="D558" s="62"/>
      <c r="E558" s="74"/>
      <c r="F558" s="62"/>
      <c r="G558" s="62"/>
      <c r="H558" s="62"/>
      <c r="I558" s="79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143"/>
      <c r="V558" s="143"/>
      <c r="W558" s="143"/>
      <c r="X558" s="62"/>
      <c r="Y558" s="62"/>
      <c r="Z558" s="143"/>
      <c r="AA558" s="143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78"/>
      <c r="BD558" s="78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62"/>
      <c r="BS558" s="62"/>
      <c r="BT558" s="62"/>
      <c r="BU558" s="62"/>
      <c r="BV558" s="62"/>
      <c r="BW558" s="62"/>
      <c r="BX558" s="62"/>
      <c r="BY558" s="62"/>
      <c r="BZ558" s="62"/>
      <c r="CA558" s="62"/>
      <c r="CB558" s="62"/>
    </row>
    <row r="559" ht="15.75" customHeight="1">
      <c r="A559" s="62"/>
      <c r="B559" s="79"/>
      <c r="C559" s="62"/>
      <c r="D559" s="62"/>
      <c r="E559" s="74"/>
      <c r="F559" s="62"/>
      <c r="G559" s="62"/>
      <c r="H559" s="62"/>
      <c r="I559" s="79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143"/>
      <c r="V559" s="143"/>
      <c r="W559" s="143"/>
      <c r="X559" s="62"/>
      <c r="Y559" s="62"/>
      <c r="Z559" s="143"/>
      <c r="AA559" s="143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78"/>
      <c r="BD559" s="78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62"/>
      <c r="BS559" s="62"/>
      <c r="BT559" s="62"/>
      <c r="BU559" s="62"/>
      <c r="BV559" s="62"/>
      <c r="BW559" s="62"/>
      <c r="BX559" s="62"/>
      <c r="BY559" s="62"/>
      <c r="BZ559" s="62"/>
      <c r="CA559" s="62"/>
      <c r="CB559" s="62"/>
    </row>
    <row r="560" ht="15.75" customHeight="1">
      <c r="A560" s="62"/>
      <c r="B560" s="79"/>
      <c r="C560" s="62"/>
      <c r="D560" s="62"/>
      <c r="E560" s="74"/>
      <c r="F560" s="62"/>
      <c r="G560" s="62"/>
      <c r="H560" s="62"/>
      <c r="I560" s="79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143"/>
      <c r="V560" s="143"/>
      <c r="W560" s="143"/>
      <c r="X560" s="62"/>
      <c r="Y560" s="62"/>
      <c r="Z560" s="143"/>
      <c r="AA560" s="143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78"/>
      <c r="BD560" s="78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62"/>
      <c r="BS560" s="62"/>
      <c r="BT560" s="62"/>
      <c r="BU560" s="62"/>
      <c r="BV560" s="62"/>
      <c r="BW560" s="62"/>
      <c r="BX560" s="62"/>
      <c r="BY560" s="62"/>
      <c r="BZ560" s="62"/>
      <c r="CA560" s="62"/>
      <c r="CB560" s="62"/>
    </row>
    <row r="561" ht="15.75" customHeight="1">
      <c r="A561" s="62"/>
      <c r="B561" s="79"/>
      <c r="C561" s="62"/>
      <c r="D561" s="62"/>
      <c r="E561" s="74"/>
      <c r="F561" s="62"/>
      <c r="G561" s="62"/>
      <c r="H561" s="62"/>
      <c r="I561" s="79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143"/>
      <c r="V561" s="143"/>
      <c r="W561" s="143"/>
      <c r="X561" s="62"/>
      <c r="Y561" s="62"/>
      <c r="Z561" s="143"/>
      <c r="AA561" s="143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78"/>
      <c r="BD561" s="78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62"/>
      <c r="BS561" s="62"/>
      <c r="BT561" s="62"/>
      <c r="BU561" s="62"/>
      <c r="BV561" s="62"/>
      <c r="BW561" s="62"/>
      <c r="BX561" s="62"/>
      <c r="BY561" s="62"/>
      <c r="BZ561" s="62"/>
      <c r="CA561" s="62"/>
      <c r="CB561" s="62"/>
    </row>
    <row r="562" ht="15.75" customHeight="1">
      <c r="A562" s="62"/>
      <c r="B562" s="79"/>
      <c r="C562" s="62"/>
      <c r="D562" s="62"/>
      <c r="E562" s="74"/>
      <c r="F562" s="62"/>
      <c r="G562" s="62"/>
      <c r="H562" s="62"/>
      <c r="I562" s="79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143"/>
      <c r="V562" s="143"/>
      <c r="W562" s="143"/>
      <c r="X562" s="62"/>
      <c r="Y562" s="62"/>
      <c r="Z562" s="143"/>
      <c r="AA562" s="143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78"/>
      <c r="BD562" s="78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</row>
    <row r="563" ht="15.75" customHeight="1">
      <c r="A563" s="62"/>
      <c r="B563" s="79"/>
      <c r="C563" s="62"/>
      <c r="D563" s="62"/>
      <c r="E563" s="74"/>
      <c r="F563" s="62"/>
      <c r="G563" s="62"/>
      <c r="H563" s="62"/>
      <c r="I563" s="79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143"/>
      <c r="V563" s="143"/>
      <c r="W563" s="143"/>
      <c r="X563" s="62"/>
      <c r="Y563" s="62"/>
      <c r="Z563" s="143"/>
      <c r="AA563" s="143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78"/>
      <c r="BD563" s="78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  <c r="BS563" s="62"/>
      <c r="BT563" s="62"/>
      <c r="BU563" s="62"/>
      <c r="BV563" s="62"/>
      <c r="BW563" s="62"/>
      <c r="BX563" s="62"/>
      <c r="BY563" s="62"/>
      <c r="BZ563" s="62"/>
      <c r="CA563" s="62"/>
      <c r="CB563" s="62"/>
    </row>
    <row r="564" ht="15.75" customHeight="1">
      <c r="A564" s="62"/>
      <c r="B564" s="79"/>
      <c r="C564" s="62"/>
      <c r="D564" s="62"/>
      <c r="E564" s="74"/>
      <c r="F564" s="62"/>
      <c r="G564" s="62"/>
      <c r="H564" s="62"/>
      <c r="I564" s="79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143"/>
      <c r="V564" s="143"/>
      <c r="W564" s="143"/>
      <c r="X564" s="62"/>
      <c r="Y564" s="62"/>
      <c r="Z564" s="143"/>
      <c r="AA564" s="143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78"/>
      <c r="BD564" s="78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62"/>
      <c r="BS564" s="62"/>
      <c r="BT564" s="62"/>
      <c r="BU564" s="62"/>
      <c r="BV564" s="62"/>
      <c r="BW564" s="62"/>
      <c r="BX564" s="62"/>
      <c r="BY564" s="62"/>
      <c r="BZ564" s="62"/>
      <c r="CA564" s="62"/>
      <c r="CB564" s="62"/>
    </row>
    <row r="565" ht="15.75" customHeight="1">
      <c r="A565" s="62"/>
      <c r="B565" s="79"/>
      <c r="C565" s="62"/>
      <c r="D565" s="62"/>
      <c r="E565" s="74"/>
      <c r="F565" s="62"/>
      <c r="G565" s="62"/>
      <c r="H565" s="62"/>
      <c r="I565" s="79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143"/>
      <c r="V565" s="143"/>
      <c r="W565" s="143"/>
      <c r="X565" s="62"/>
      <c r="Y565" s="62"/>
      <c r="Z565" s="143"/>
      <c r="AA565" s="143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78"/>
      <c r="BD565" s="78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62"/>
      <c r="BS565" s="62"/>
      <c r="BT565" s="62"/>
      <c r="BU565" s="62"/>
      <c r="BV565" s="62"/>
      <c r="BW565" s="62"/>
      <c r="BX565" s="62"/>
      <c r="BY565" s="62"/>
      <c r="BZ565" s="62"/>
      <c r="CA565" s="62"/>
      <c r="CB565" s="62"/>
    </row>
    <row r="566" ht="15.75" customHeight="1">
      <c r="A566" s="62"/>
      <c r="B566" s="79"/>
      <c r="C566" s="62"/>
      <c r="D566" s="62"/>
      <c r="E566" s="74"/>
      <c r="F566" s="62"/>
      <c r="G566" s="62"/>
      <c r="H566" s="62"/>
      <c r="I566" s="79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143"/>
      <c r="V566" s="143"/>
      <c r="W566" s="143"/>
      <c r="X566" s="62"/>
      <c r="Y566" s="62"/>
      <c r="Z566" s="143"/>
      <c r="AA566" s="143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78"/>
      <c r="BD566" s="78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62"/>
      <c r="BS566" s="62"/>
      <c r="BT566" s="62"/>
      <c r="BU566" s="62"/>
      <c r="BV566" s="62"/>
      <c r="BW566" s="62"/>
      <c r="BX566" s="62"/>
      <c r="BY566" s="62"/>
      <c r="BZ566" s="62"/>
      <c r="CA566" s="62"/>
      <c r="CB566" s="62"/>
    </row>
    <row r="567" ht="15.75" customHeight="1">
      <c r="A567" s="62"/>
      <c r="B567" s="79"/>
      <c r="C567" s="62"/>
      <c r="D567" s="62"/>
      <c r="E567" s="74"/>
      <c r="F567" s="62"/>
      <c r="G567" s="62"/>
      <c r="H567" s="62"/>
      <c r="I567" s="79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143"/>
      <c r="V567" s="143"/>
      <c r="W567" s="143"/>
      <c r="X567" s="62"/>
      <c r="Y567" s="62"/>
      <c r="Z567" s="143"/>
      <c r="AA567" s="143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78"/>
      <c r="BD567" s="78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62"/>
      <c r="BS567" s="62"/>
      <c r="BT567" s="62"/>
      <c r="BU567" s="62"/>
      <c r="BV567" s="62"/>
      <c r="BW567" s="62"/>
      <c r="BX567" s="62"/>
      <c r="BY567" s="62"/>
      <c r="BZ567" s="62"/>
      <c r="CA567" s="62"/>
      <c r="CB567" s="62"/>
    </row>
    <row r="568" ht="15.75" customHeight="1">
      <c r="A568" s="62"/>
      <c r="B568" s="79"/>
      <c r="C568" s="62"/>
      <c r="D568" s="62"/>
      <c r="E568" s="74"/>
      <c r="F568" s="62"/>
      <c r="G568" s="62"/>
      <c r="H568" s="62"/>
      <c r="I568" s="79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143"/>
      <c r="V568" s="143"/>
      <c r="W568" s="143"/>
      <c r="X568" s="62"/>
      <c r="Y568" s="62"/>
      <c r="Z568" s="143"/>
      <c r="AA568" s="143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78"/>
      <c r="BD568" s="78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62"/>
      <c r="BS568" s="62"/>
      <c r="BT568" s="62"/>
      <c r="BU568" s="62"/>
      <c r="BV568" s="62"/>
      <c r="BW568" s="62"/>
      <c r="BX568" s="62"/>
      <c r="BY568" s="62"/>
      <c r="BZ568" s="62"/>
      <c r="CA568" s="62"/>
      <c r="CB568" s="62"/>
    </row>
    <row r="569" ht="15.75" customHeight="1">
      <c r="A569" s="62"/>
      <c r="B569" s="79"/>
      <c r="C569" s="62"/>
      <c r="D569" s="62"/>
      <c r="E569" s="74"/>
      <c r="F569" s="62"/>
      <c r="G569" s="62"/>
      <c r="H569" s="62"/>
      <c r="I569" s="79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143"/>
      <c r="V569" s="143"/>
      <c r="W569" s="143"/>
      <c r="X569" s="62"/>
      <c r="Y569" s="62"/>
      <c r="Z569" s="143"/>
      <c r="AA569" s="143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78"/>
      <c r="BD569" s="78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62"/>
      <c r="BS569" s="62"/>
      <c r="BT569" s="62"/>
      <c r="BU569" s="62"/>
      <c r="BV569" s="62"/>
      <c r="BW569" s="62"/>
      <c r="BX569" s="62"/>
      <c r="BY569" s="62"/>
      <c r="BZ569" s="62"/>
      <c r="CA569" s="62"/>
      <c r="CB569" s="62"/>
    </row>
    <row r="570" ht="15.75" customHeight="1">
      <c r="A570" s="62"/>
      <c r="B570" s="79"/>
      <c r="C570" s="62"/>
      <c r="D570" s="62"/>
      <c r="E570" s="74"/>
      <c r="F570" s="62"/>
      <c r="G570" s="62"/>
      <c r="H570" s="62"/>
      <c r="I570" s="79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143"/>
      <c r="V570" s="143"/>
      <c r="W570" s="143"/>
      <c r="X570" s="62"/>
      <c r="Y570" s="62"/>
      <c r="Z570" s="143"/>
      <c r="AA570" s="143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78"/>
      <c r="BD570" s="78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62"/>
      <c r="BS570" s="62"/>
      <c r="BT570" s="62"/>
      <c r="BU570" s="62"/>
      <c r="BV570" s="62"/>
      <c r="BW570" s="62"/>
      <c r="BX570" s="62"/>
      <c r="BY570" s="62"/>
      <c r="BZ570" s="62"/>
      <c r="CA570" s="62"/>
      <c r="CB570" s="62"/>
    </row>
    <row r="571" ht="15.75" customHeight="1">
      <c r="A571" s="62"/>
      <c r="B571" s="79"/>
      <c r="C571" s="62"/>
      <c r="D571" s="62"/>
      <c r="E571" s="74"/>
      <c r="F571" s="62"/>
      <c r="G571" s="62"/>
      <c r="H571" s="62"/>
      <c r="I571" s="79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143"/>
      <c r="V571" s="143"/>
      <c r="W571" s="143"/>
      <c r="X571" s="62"/>
      <c r="Y571" s="62"/>
      <c r="Z571" s="143"/>
      <c r="AA571" s="143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78"/>
      <c r="BD571" s="78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62"/>
      <c r="BS571" s="62"/>
      <c r="BT571" s="62"/>
      <c r="BU571" s="62"/>
      <c r="BV571" s="62"/>
      <c r="BW571" s="62"/>
      <c r="BX571" s="62"/>
      <c r="BY571" s="62"/>
      <c r="BZ571" s="62"/>
      <c r="CA571" s="62"/>
      <c r="CB571" s="62"/>
    </row>
    <row r="572" ht="15.75" customHeight="1">
      <c r="A572" s="62"/>
      <c r="B572" s="79"/>
      <c r="C572" s="62"/>
      <c r="D572" s="62"/>
      <c r="E572" s="74"/>
      <c r="F572" s="62"/>
      <c r="G572" s="62"/>
      <c r="H572" s="62"/>
      <c r="I572" s="79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143"/>
      <c r="V572" s="143"/>
      <c r="W572" s="143"/>
      <c r="X572" s="62"/>
      <c r="Y572" s="62"/>
      <c r="Z572" s="143"/>
      <c r="AA572" s="143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78"/>
      <c r="BD572" s="78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62"/>
      <c r="BS572" s="62"/>
      <c r="BT572" s="62"/>
      <c r="BU572" s="62"/>
      <c r="BV572" s="62"/>
      <c r="BW572" s="62"/>
      <c r="BX572" s="62"/>
      <c r="BY572" s="62"/>
      <c r="BZ572" s="62"/>
      <c r="CA572" s="62"/>
      <c r="CB572" s="62"/>
    </row>
    <row r="573" ht="15.75" customHeight="1">
      <c r="A573" s="62"/>
      <c r="B573" s="79"/>
      <c r="C573" s="62"/>
      <c r="D573" s="62"/>
      <c r="E573" s="74"/>
      <c r="F573" s="62"/>
      <c r="G573" s="62"/>
      <c r="H573" s="62"/>
      <c r="I573" s="79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143"/>
      <c r="V573" s="143"/>
      <c r="W573" s="143"/>
      <c r="X573" s="62"/>
      <c r="Y573" s="62"/>
      <c r="Z573" s="143"/>
      <c r="AA573" s="143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78"/>
      <c r="BD573" s="78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62"/>
      <c r="BS573" s="62"/>
      <c r="BT573" s="62"/>
      <c r="BU573" s="62"/>
      <c r="BV573" s="62"/>
      <c r="BW573" s="62"/>
      <c r="BX573" s="62"/>
      <c r="BY573" s="62"/>
      <c r="BZ573" s="62"/>
      <c r="CA573" s="62"/>
      <c r="CB573" s="62"/>
    </row>
    <row r="574" ht="15.75" customHeight="1">
      <c r="A574" s="62"/>
      <c r="B574" s="79"/>
      <c r="C574" s="62"/>
      <c r="D574" s="62"/>
      <c r="E574" s="74"/>
      <c r="F574" s="62"/>
      <c r="G574" s="62"/>
      <c r="H574" s="62"/>
      <c r="I574" s="79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143"/>
      <c r="V574" s="143"/>
      <c r="W574" s="143"/>
      <c r="X574" s="62"/>
      <c r="Y574" s="62"/>
      <c r="Z574" s="143"/>
      <c r="AA574" s="143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78"/>
      <c r="BD574" s="78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62"/>
      <c r="BS574" s="62"/>
      <c r="BT574" s="62"/>
      <c r="BU574" s="62"/>
      <c r="BV574" s="62"/>
      <c r="BW574" s="62"/>
      <c r="BX574" s="62"/>
      <c r="BY574" s="62"/>
      <c r="BZ574" s="62"/>
      <c r="CA574" s="62"/>
      <c r="CB574" s="62"/>
    </row>
    <row r="575" ht="15.75" customHeight="1">
      <c r="A575" s="62"/>
      <c r="B575" s="79"/>
      <c r="C575" s="62"/>
      <c r="D575" s="62"/>
      <c r="E575" s="74"/>
      <c r="F575" s="62"/>
      <c r="G575" s="62"/>
      <c r="H575" s="62"/>
      <c r="I575" s="79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143"/>
      <c r="V575" s="143"/>
      <c r="W575" s="143"/>
      <c r="X575" s="62"/>
      <c r="Y575" s="62"/>
      <c r="Z575" s="143"/>
      <c r="AA575" s="143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78"/>
      <c r="BD575" s="78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62"/>
      <c r="BS575" s="62"/>
      <c r="BT575" s="62"/>
      <c r="BU575" s="62"/>
      <c r="BV575" s="62"/>
      <c r="BW575" s="62"/>
      <c r="BX575" s="62"/>
      <c r="BY575" s="62"/>
      <c r="BZ575" s="62"/>
      <c r="CA575" s="62"/>
      <c r="CB575" s="62"/>
    </row>
    <row r="576" ht="15.75" customHeight="1">
      <c r="A576" s="62"/>
      <c r="B576" s="79"/>
      <c r="C576" s="62"/>
      <c r="D576" s="62"/>
      <c r="E576" s="74"/>
      <c r="F576" s="62"/>
      <c r="G576" s="62"/>
      <c r="H576" s="62"/>
      <c r="I576" s="79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143"/>
      <c r="V576" s="143"/>
      <c r="W576" s="143"/>
      <c r="X576" s="62"/>
      <c r="Y576" s="62"/>
      <c r="Z576" s="143"/>
      <c r="AA576" s="143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78"/>
      <c r="BD576" s="78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62"/>
      <c r="BS576" s="62"/>
      <c r="BT576" s="62"/>
      <c r="BU576" s="62"/>
      <c r="BV576" s="62"/>
      <c r="BW576" s="62"/>
      <c r="BX576" s="62"/>
      <c r="BY576" s="62"/>
      <c r="BZ576" s="62"/>
      <c r="CA576" s="62"/>
      <c r="CB576" s="62"/>
    </row>
    <row r="577" ht="15.75" customHeight="1">
      <c r="A577" s="62"/>
      <c r="B577" s="79"/>
      <c r="C577" s="62"/>
      <c r="D577" s="62"/>
      <c r="E577" s="74"/>
      <c r="F577" s="62"/>
      <c r="G577" s="62"/>
      <c r="H577" s="62"/>
      <c r="I577" s="79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143"/>
      <c r="V577" s="143"/>
      <c r="W577" s="143"/>
      <c r="X577" s="62"/>
      <c r="Y577" s="62"/>
      <c r="Z577" s="143"/>
      <c r="AA577" s="143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78"/>
      <c r="BD577" s="78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62"/>
      <c r="BS577" s="62"/>
      <c r="BT577" s="62"/>
      <c r="BU577" s="62"/>
      <c r="BV577" s="62"/>
      <c r="BW577" s="62"/>
      <c r="BX577" s="62"/>
      <c r="BY577" s="62"/>
      <c r="BZ577" s="62"/>
      <c r="CA577" s="62"/>
      <c r="CB577" s="62"/>
    </row>
    <row r="578" ht="15.75" customHeight="1">
      <c r="A578" s="62"/>
      <c r="B578" s="79"/>
      <c r="C578" s="62"/>
      <c r="D578" s="62"/>
      <c r="E578" s="74"/>
      <c r="F578" s="62"/>
      <c r="G578" s="62"/>
      <c r="H578" s="62"/>
      <c r="I578" s="79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143"/>
      <c r="V578" s="143"/>
      <c r="W578" s="143"/>
      <c r="X578" s="62"/>
      <c r="Y578" s="62"/>
      <c r="Z578" s="143"/>
      <c r="AA578" s="143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78"/>
      <c r="BD578" s="78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62"/>
      <c r="BS578" s="62"/>
      <c r="BT578" s="62"/>
      <c r="BU578" s="62"/>
      <c r="BV578" s="62"/>
      <c r="BW578" s="62"/>
      <c r="BX578" s="62"/>
      <c r="BY578" s="62"/>
      <c r="BZ578" s="62"/>
      <c r="CA578" s="62"/>
      <c r="CB578" s="62"/>
    </row>
    <row r="579" ht="15.75" customHeight="1">
      <c r="A579" s="62"/>
      <c r="B579" s="79"/>
      <c r="C579" s="62"/>
      <c r="D579" s="62"/>
      <c r="E579" s="74"/>
      <c r="F579" s="62"/>
      <c r="G579" s="62"/>
      <c r="H579" s="62"/>
      <c r="I579" s="79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143"/>
      <c r="V579" s="143"/>
      <c r="W579" s="143"/>
      <c r="X579" s="62"/>
      <c r="Y579" s="62"/>
      <c r="Z579" s="143"/>
      <c r="AA579" s="143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78"/>
      <c r="BD579" s="78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62"/>
      <c r="BS579" s="62"/>
      <c r="BT579" s="62"/>
      <c r="BU579" s="62"/>
      <c r="BV579" s="62"/>
      <c r="BW579" s="62"/>
      <c r="BX579" s="62"/>
      <c r="BY579" s="62"/>
      <c r="BZ579" s="62"/>
      <c r="CA579" s="62"/>
      <c r="CB579" s="62"/>
    </row>
    <row r="580" ht="15.75" customHeight="1">
      <c r="A580" s="62"/>
      <c r="B580" s="79"/>
      <c r="C580" s="62"/>
      <c r="D580" s="62"/>
      <c r="E580" s="74"/>
      <c r="F580" s="62"/>
      <c r="G580" s="62"/>
      <c r="H580" s="62"/>
      <c r="I580" s="79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143"/>
      <c r="V580" s="143"/>
      <c r="W580" s="143"/>
      <c r="X580" s="62"/>
      <c r="Y580" s="62"/>
      <c r="Z580" s="143"/>
      <c r="AA580" s="143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78"/>
      <c r="BD580" s="78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</row>
    <row r="581" ht="15.75" customHeight="1">
      <c r="A581" s="62"/>
      <c r="B581" s="79"/>
      <c r="C581" s="62"/>
      <c r="D581" s="62"/>
      <c r="E581" s="74"/>
      <c r="F581" s="62"/>
      <c r="G581" s="62"/>
      <c r="H581" s="62"/>
      <c r="I581" s="79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143"/>
      <c r="V581" s="143"/>
      <c r="W581" s="143"/>
      <c r="X581" s="62"/>
      <c r="Y581" s="62"/>
      <c r="Z581" s="143"/>
      <c r="AA581" s="143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78"/>
      <c r="BD581" s="78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</row>
    <row r="582" ht="15.75" customHeight="1">
      <c r="A582" s="62"/>
      <c r="B582" s="79"/>
      <c r="C582" s="62"/>
      <c r="D582" s="62"/>
      <c r="E582" s="74"/>
      <c r="F582" s="62"/>
      <c r="G582" s="62"/>
      <c r="H582" s="62"/>
      <c r="I582" s="79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143"/>
      <c r="V582" s="143"/>
      <c r="W582" s="143"/>
      <c r="X582" s="62"/>
      <c r="Y582" s="62"/>
      <c r="Z582" s="143"/>
      <c r="AA582" s="143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78"/>
      <c r="BD582" s="78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</row>
    <row r="583" ht="15.75" customHeight="1">
      <c r="A583" s="62"/>
      <c r="B583" s="79"/>
      <c r="C583" s="62"/>
      <c r="D583" s="62"/>
      <c r="E583" s="74"/>
      <c r="F583" s="62"/>
      <c r="G583" s="62"/>
      <c r="H583" s="62"/>
      <c r="I583" s="79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143"/>
      <c r="V583" s="143"/>
      <c r="W583" s="143"/>
      <c r="X583" s="62"/>
      <c r="Y583" s="62"/>
      <c r="Z583" s="143"/>
      <c r="AA583" s="143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78"/>
      <c r="BD583" s="78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</row>
    <row r="584" ht="15.75" customHeight="1">
      <c r="A584" s="62"/>
      <c r="B584" s="79"/>
      <c r="C584" s="62"/>
      <c r="D584" s="62"/>
      <c r="E584" s="74"/>
      <c r="F584" s="62"/>
      <c r="G584" s="62"/>
      <c r="H584" s="62"/>
      <c r="I584" s="79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143"/>
      <c r="V584" s="143"/>
      <c r="W584" s="143"/>
      <c r="X584" s="62"/>
      <c r="Y584" s="62"/>
      <c r="Z584" s="143"/>
      <c r="AA584" s="143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78"/>
      <c r="BD584" s="78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</row>
    <row r="585" ht="15.75" customHeight="1">
      <c r="A585" s="62"/>
      <c r="B585" s="79"/>
      <c r="C585" s="62"/>
      <c r="D585" s="62"/>
      <c r="E585" s="74"/>
      <c r="F585" s="62"/>
      <c r="G585" s="62"/>
      <c r="H585" s="62"/>
      <c r="I585" s="79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143"/>
      <c r="V585" s="143"/>
      <c r="W585" s="143"/>
      <c r="X585" s="62"/>
      <c r="Y585" s="62"/>
      <c r="Z585" s="143"/>
      <c r="AA585" s="143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78"/>
      <c r="BD585" s="78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</row>
    <row r="586" ht="15.75" customHeight="1">
      <c r="A586" s="62"/>
      <c r="B586" s="79"/>
      <c r="C586" s="62"/>
      <c r="D586" s="62"/>
      <c r="E586" s="74"/>
      <c r="F586" s="62"/>
      <c r="G586" s="62"/>
      <c r="H586" s="62"/>
      <c r="I586" s="79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143"/>
      <c r="V586" s="143"/>
      <c r="W586" s="143"/>
      <c r="X586" s="62"/>
      <c r="Y586" s="62"/>
      <c r="Z586" s="143"/>
      <c r="AA586" s="143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78"/>
      <c r="BD586" s="78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</row>
    <row r="587" ht="15.75" customHeight="1">
      <c r="A587" s="62"/>
      <c r="B587" s="79"/>
      <c r="C587" s="62"/>
      <c r="D587" s="62"/>
      <c r="E587" s="74"/>
      <c r="F587" s="62"/>
      <c r="G587" s="62"/>
      <c r="H587" s="62"/>
      <c r="I587" s="79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143"/>
      <c r="V587" s="143"/>
      <c r="W587" s="143"/>
      <c r="X587" s="62"/>
      <c r="Y587" s="62"/>
      <c r="Z587" s="143"/>
      <c r="AA587" s="143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78"/>
      <c r="BD587" s="78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</row>
    <row r="588" ht="15.75" customHeight="1">
      <c r="A588" s="62"/>
      <c r="B588" s="79"/>
      <c r="C588" s="62"/>
      <c r="D588" s="62"/>
      <c r="E588" s="74"/>
      <c r="F588" s="62"/>
      <c r="G588" s="62"/>
      <c r="H588" s="62"/>
      <c r="I588" s="79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143"/>
      <c r="V588" s="143"/>
      <c r="W588" s="143"/>
      <c r="X588" s="62"/>
      <c r="Y588" s="62"/>
      <c r="Z588" s="143"/>
      <c r="AA588" s="143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78"/>
      <c r="BD588" s="78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</row>
    <row r="589" ht="15.75" customHeight="1">
      <c r="A589" s="62"/>
      <c r="B589" s="79"/>
      <c r="C589" s="62"/>
      <c r="D589" s="62"/>
      <c r="E589" s="74"/>
      <c r="F589" s="62"/>
      <c r="G589" s="62"/>
      <c r="H589" s="62"/>
      <c r="I589" s="79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143"/>
      <c r="V589" s="143"/>
      <c r="W589" s="143"/>
      <c r="X589" s="62"/>
      <c r="Y589" s="62"/>
      <c r="Z589" s="143"/>
      <c r="AA589" s="143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78"/>
      <c r="BD589" s="78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</row>
    <row r="590" ht="15.75" customHeight="1">
      <c r="A590" s="62"/>
      <c r="B590" s="79"/>
      <c r="C590" s="62"/>
      <c r="D590" s="62"/>
      <c r="E590" s="74"/>
      <c r="F590" s="62"/>
      <c r="G590" s="62"/>
      <c r="H590" s="62"/>
      <c r="I590" s="79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143"/>
      <c r="V590" s="143"/>
      <c r="W590" s="143"/>
      <c r="X590" s="62"/>
      <c r="Y590" s="62"/>
      <c r="Z590" s="143"/>
      <c r="AA590" s="143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78"/>
      <c r="BD590" s="78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62"/>
      <c r="BS590" s="62"/>
      <c r="BT590" s="62"/>
      <c r="BU590" s="62"/>
      <c r="BV590" s="62"/>
      <c r="BW590" s="62"/>
      <c r="BX590" s="62"/>
      <c r="BY590" s="62"/>
      <c r="BZ590" s="62"/>
      <c r="CA590" s="62"/>
      <c r="CB590" s="62"/>
    </row>
    <row r="591" ht="15.75" customHeight="1">
      <c r="A591" s="62"/>
      <c r="B591" s="79"/>
      <c r="C591" s="62"/>
      <c r="D591" s="62"/>
      <c r="E591" s="74"/>
      <c r="F591" s="62"/>
      <c r="G591" s="62"/>
      <c r="H591" s="62"/>
      <c r="I591" s="79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143"/>
      <c r="V591" s="143"/>
      <c r="W591" s="143"/>
      <c r="X591" s="62"/>
      <c r="Y591" s="62"/>
      <c r="Z591" s="143"/>
      <c r="AA591" s="143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78"/>
      <c r="BD591" s="78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62"/>
      <c r="BS591" s="62"/>
      <c r="BT591" s="62"/>
      <c r="BU591" s="62"/>
      <c r="BV591" s="62"/>
      <c r="BW591" s="62"/>
      <c r="BX591" s="62"/>
      <c r="BY591" s="62"/>
      <c r="BZ591" s="62"/>
      <c r="CA591" s="62"/>
      <c r="CB591" s="62"/>
    </row>
    <row r="592" ht="15.75" customHeight="1">
      <c r="A592" s="62"/>
      <c r="B592" s="79"/>
      <c r="C592" s="62"/>
      <c r="D592" s="62"/>
      <c r="E592" s="74"/>
      <c r="F592" s="62"/>
      <c r="G592" s="62"/>
      <c r="H592" s="62"/>
      <c r="I592" s="79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143"/>
      <c r="V592" s="143"/>
      <c r="W592" s="143"/>
      <c r="X592" s="62"/>
      <c r="Y592" s="62"/>
      <c r="Z592" s="143"/>
      <c r="AA592" s="143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78"/>
      <c r="BD592" s="78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62"/>
      <c r="BS592" s="62"/>
      <c r="BT592" s="62"/>
      <c r="BU592" s="62"/>
      <c r="BV592" s="62"/>
      <c r="BW592" s="62"/>
      <c r="BX592" s="62"/>
      <c r="BY592" s="62"/>
      <c r="BZ592" s="62"/>
      <c r="CA592" s="62"/>
      <c r="CB592" s="62"/>
    </row>
    <row r="593" ht="15.75" customHeight="1">
      <c r="A593" s="62"/>
      <c r="B593" s="79"/>
      <c r="C593" s="62"/>
      <c r="D593" s="62"/>
      <c r="E593" s="74"/>
      <c r="F593" s="62"/>
      <c r="G593" s="62"/>
      <c r="H593" s="62"/>
      <c r="I593" s="79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143"/>
      <c r="V593" s="143"/>
      <c r="W593" s="143"/>
      <c r="X593" s="62"/>
      <c r="Y593" s="62"/>
      <c r="Z593" s="143"/>
      <c r="AA593" s="143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78"/>
      <c r="BD593" s="78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62"/>
      <c r="BS593" s="62"/>
      <c r="BT593" s="62"/>
      <c r="BU593" s="62"/>
      <c r="BV593" s="62"/>
      <c r="BW593" s="62"/>
      <c r="BX593" s="62"/>
      <c r="BY593" s="62"/>
      <c r="BZ593" s="62"/>
      <c r="CA593" s="62"/>
      <c r="CB593" s="62"/>
    </row>
    <row r="594" ht="15.75" customHeight="1">
      <c r="A594" s="62"/>
      <c r="B594" s="79"/>
      <c r="C594" s="62"/>
      <c r="D594" s="62"/>
      <c r="E594" s="74"/>
      <c r="F594" s="62"/>
      <c r="G594" s="62"/>
      <c r="H594" s="62"/>
      <c r="I594" s="79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143"/>
      <c r="V594" s="143"/>
      <c r="W594" s="143"/>
      <c r="X594" s="62"/>
      <c r="Y594" s="62"/>
      <c r="Z594" s="143"/>
      <c r="AA594" s="143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78"/>
      <c r="BD594" s="78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62"/>
      <c r="BS594" s="62"/>
      <c r="BT594" s="62"/>
      <c r="BU594" s="62"/>
      <c r="BV594" s="62"/>
      <c r="BW594" s="62"/>
      <c r="BX594" s="62"/>
      <c r="BY594" s="62"/>
      <c r="BZ594" s="62"/>
      <c r="CA594" s="62"/>
      <c r="CB594" s="62"/>
    </row>
    <row r="595" ht="15.75" customHeight="1">
      <c r="A595" s="62"/>
      <c r="B595" s="79"/>
      <c r="C595" s="62"/>
      <c r="D595" s="62"/>
      <c r="E595" s="74"/>
      <c r="F595" s="62"/>
      <c r="G595" s="62"/>
      <c r="H595" s="62"/>
      <c r="I595" s="79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143"/>
      <c r="V595" s="143"/>
      <c r="W595" s="143"/>
      <c r="X595" s="62"/>
      <c r="Y595" s="62"/>
      <c r="Z595" s="143"/>
      <c r="AA595" s="143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78"/>
      <c r="BD595" s="78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62"/>
      <c r="BS595" s="62"/>
      <c r="BT595" s="62"/>
      <c r="BU595" s="62"/>
      <c r="BV595" s="62"/>
      <c r="BW595" s="62"/>
      <c r="BX595" s="62"/>
      <c r="BY595" s="62"/>
      <c r="BZ595" s="62"/>
      <c r="CA595" s="62"/>
      <c r="CB595" s="62"/>
    </row>
    <row r="596" ht="15.75" customHeight="1">
      <c r="A596" s="62"/>
      <c r="B596" s="79"/>
      <c r="C596" s="62"/>
      <c r="D596" s="62"/>
      <c r="E596" s="74"/>
      <c r="F596" s="62"/>
      <c r="G596" s="62"/>
      <c r="H596" s="62"/>
      <c r="I596" s="79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143"/>
      <c r="V596" s="143"/>
      <c r="W596" s="143"/>
      <c r="X596" s="62"/>
      <c r="Y596" s="62"/>
      <c r="Z596" s="143"/>
      <c r="AA596" s="143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78"/>
      <c r="BD596" s="78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62"/>
      <c r="BS596" s="62"/>
      <c r="BT596" s="62"/>
      <c r="BU596" s="62"/>
      <c r="BV596" s="62"/>
      <c r="BW596" s="62"/>
      <c r="BX596" s="62"/>
      <c r="BY596" s="62"/>
      <c r="BZ596" s="62"/>
      <c r="CA596" s="62"/>
      <c r="CB596" s="62"/>
    </row>
    <row r="597" ht="15.75" customHeight="1">
      <c r="A597" s="62"/>
      <c r="B597" s="79"/>
      <c r="C597" s="62"/>
      <c r="D597" s="62"/>
      <c r="E597" s="74"/>
      <c r="F597" s="62"/>
      <c r="G597" s="62"/>
      <c r="H597" s="62"/>
      <c r="I597" s="79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143"/>
      <c r="V597" s="143"/>
      <c r="W597" s="143"/>
      <c r="X597" s="62"/>
      <c r="Y597" s="62"/>
      <c r="Z597" s="143"/>
      <c r="AA597" s="143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78"/>
      <c r="BD597" s="78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62"/>
      <c r="BS597" s="62"/>
      <c r="BT597" s="62"/>
      <c r="BU597" s="62"/>
      <c r="BV597" s="62"/>
      <c r="BW597" s="62"/>
      <c r="BX597" s="62"/>
      <c r="BY597" s="62"/>
      <c r="BZ597" s="62"/>
      <c r="CA597" s="62"/>
      <c r="CB597" s="62"/>
    </row>
    <row r="598" ht="15.75" customHeight="1">
      <c r="A598" s="62"/>
      <c r="B598" s="79"/>
      <c r="C598" s="62"/>
      <c r="D598" s="62"/>
      <c r="E598" s="74"/>
      <c r="F598" s="62"/>
      <c r="G598" s="62"/>
      <c r="H598" s="62"/>
      <c r="I598" s="79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143"/>
      <c r="V598" s="143"/>
      <c r="W598" s="143"/>
      <c r="X598" s="62"/>
      <c r="Y598" s="62"/>
      <c r="Z598" s="143"/>
      <c r="AA598" s="143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78"/>
      <c r="BD598" s="78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62"/>
      <c r="BS598" s="62"/>
      <c r="BT598" s="62"/>
      <c r="BU598" s="62"/>
      <c r="BV598" s="62"/>
      <c r="BW598" s="62"/>
      <c r="BX598" s="62"/>
      <c r="BY598" s="62"/>
      <c r="BZ598" s="62"/>
      <c r="CA598" s="62"/>
      <c r="CB598" s="62"/>
    </row>
    <row r="599" ht="15.75" customHeight="1">
      <c r="A599" s="62"/>
      <c r="B599" s="79"/>
      <c r="C599" s="62"/>
      <c r="D599" s="62"/>
      <c r="E599" s="74"/>
      <c r="F599" s="62"/>
      <c r="G599" s="62"/>
      <c r="H599" s="62"/>
      <c r="I599" s="79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143"/>
      <c r="V599" s="143"/>
      <c r="W599" s="143"/>
      <c r="X599" s="62"/>
      <c r="Y599" s="62"/>
      <c r="Z599" s="143"/>
      <c r="AA599" s="143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78"/>
      <c r="BD599" s="78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62"/>
      <c r="BS599" s="62"/>
      <c r="BT599" s="62"/>
      <c r="BU599" s="62"/>
      <c r="BV599" s="62"/>
      <c r="BW599" s="62"/>
      <c r="BX599" s="62"/>
      <c r="BY599" s="62"/>
      <c r="BZ599" s="62"/>
      <c r="CA599" s="62"/>
      <c r="CB599" s="62"/>
    </row>
    <row r="600" ht="15.75" customHeight="1">
      <c r="A600" s="62"/>
      <c r="B600" s="79"/>
      <c r="C600" s="62"/>
      <c r="D600" s="62"/>
      <c r="E600" s="74"/>
      <c r="F600" s="62"/>
      <c r="G600" s="62"/>
      <c r="H600" s="62"/>
      <c r="I600" s="79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143"/>
      <c r="V600" s="143"/>
      <c r="W600" s="143"/>
      <c r="X600" s="62"/>
      <c r="Y600" s="62"/>
      <c r="Z600" s="143"/>
      <c r="AA600" s="143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78"/>
      <c r="BD600" s="78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62"/>
      <c r="BS600" s="62"/>
      <c r="BT600" s="62"/>
      <c r="BU600" s="62"/>
      <c r="BV600" s="62"/>
      <c r="BW600" s="62"/>
      <c r="BX600" s="62"/>
      <c r="BY600" s="62"/>
      <c r="BZ600" s="62"/>
      <c r="CA600" s="62"/>
      <c r="CB600" s="62"/>
    </row>
    <row r="601" ht="15.75" customHeight="1">
      <c r="A601" s="62"/>
      <c r="B601" s="79"/>
      <c r="C601" s="62"/>
      <c r="D601" s="62"/>
      <c r="E601" s="74"/>
      <c r="F601" s="62"/>
      <c r="G601" s="62"/>
      <c r="H601" s="62"/>
      <c r="I601" s="79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143"/>
      <c r="V601" s="143"/>
      <c r="W601" s="143"/>
      <c r="X601" s="62"/>
      <c r="Y601" s="62"/>
      <c r="Z601" s="143"/>
      <c r="AA601" s="143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78"/>
      <c r="BD601" s="78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62"/>
      <c r="BS601" s="62"/>
      <c r="BT601" s="62"/>
      <c r="BU601" s="62"/>
      <c r="BV601" s="62"/>
      <c r="BW601" s="62"/>
      <c r="BX601" s="62"/>
      <c r="BY601" s="62"/>
      <c r="BZ601" s="62"/>
      <c r="CA601" s="62"/>
      <c r="CB601" s="62"/>
    </row>
    <row r="602" ht="15.75" customHeight="1">
      <c r="A602" s="62"/>
      <c r="B602" s="79"/>
      <c r="C602" s="62"/>
      <c r="D602" s="62"/>
      <c r="E602" s="74"/>
      <c r="F602" s="62"/>
      <c r="G602" s="62"/>
      <c r="H602" s="62"/>
      <c r="I602" s="79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143"/>
      <c r="V602" s="143"/>
      <c r="W602" s="143"/>
      <c r="X602" s="62"/>
      <c r="Y602" s="62"/>
      <c r="Z602" s="143"/>
      <c r="AA602" s="143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78"/>
      <c r="BD602" s="78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62"/>
      <c r="BS602" s="62"/>
      <c r="BT602" s="62"/>
      <c r="BU602" s="62"/>
      <c r="BV602" s="62"/>
      <c r="BW602" s="62"/>
      <c r="BX602" s="62"/>
      <c r="BY602" s="62"/>
      <c r="BZ602" s="62"/>
      <c r="CA602" s="62"/>
      <c r="CB602" s="62"/>
    </row>
    <row r="603" ht="15.75" customHeight="1">
      <c r="A603" s="62"/>
      <c r="B603" s="79"/>
      <c r="C603" s="62"/>
      <c r="D603" s="62"/>
      <c r="E603" s="74"/>
      <c r="F603" s="62"/>
      <c r="G603" s="62"/>
      <c r="H603" s="62"/>
      <c r="I603" s="79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143"/>
      <c r="V603" s="143"/>
      <c r="W603" s="143"/>
      <c r="X603" s="62"/>
      <c r="Y603" s="62"/>
      <c r="Z603" s="143"/>
      <c r="AA603" s="143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78"/>
      <c r="BD603" s="78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62"/>
      <c r="BS603" s="62"/>
      <c r="BT603" s="62"/>
      <c r="BU603" s="62"/>
      <c r="BV603" s="62"/>
      <c r="BW603" s="62"/>
      <c r="BX603" s="62"/>
      <c r="BY603" s="62"/>
      <c r="BZ603" s="62"/>
      <c r="CA603" s="62"/>
      <c r="CB603" s="62"/>
    </row>
    <row r="604" ht="15.75" customHeight="1">
      <c r="A604" s="62"/>
      <c r="B604" s="79"/>
      <c r="C604" s="62"/>
      <c r="D604" s="62"/>
      <c r="E604" s="74"/>
      <c r="F604" s="62"/>
      <c r="G604" s="62"/>
      <c r="H604" s="62"/>
      <c r="I604" s="79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143"/>
      <c r="V604" s="143"/>
      <c r="W604" s="143"/>
      <c r="X604" s="62"/>
      <c r="Y604" s="62"/>
      <c r="Z604" s="143"/>
      <c r="AA604" s="143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78"/>
      <c r="BD604" s="78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62"/>
      <c r="BS604" s="62"/>
      <c r="BT604" s="62"/>
      <c r="BU604" s="62"/>
      <c r="BV604" s="62"/>
      <c r="BW604" s="62"/>
      <c r="BX604" s="62"/>
      <c r="BY604" s="62"/>
      <c r="BZ604" s="62"/>
      <c r="CA604" s="62"/>
      <c r="CB604" s="62"/>
    </row>
    <row r="605" ht="15.75" customHeight="1">
      <c r="A605" s="62"/>
      <c r="B605" s="79"/>
      <c r="C605" s="62"/>
      <c r="D605" s="62"/>
      <c r="E605" s="74"/>
      <c r="F605" s="62"/>
      <c r="G605" s="62"/>
      <c r="H605" s="62"/>
      <c r="I605" s="79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143"/>
      <c r="V605" s="143"/>
      <c r="W605" s="143"/>
      <c r="X605" s="62"/>
      <c r="Y605" s="62"/>
      <c r="Z605" s="143"/>
      <c r="AA605" s="143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78"/>
      <c r="BD605" s="78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62"/>
      <c r="BS605" s="62"/>
      <c r="BT605" s="62"/>
      <c r="BU605" s="62"/>
      <c r="BV605" s="62"/>
      <c r="BW605" s="62"/>
      <c r="BX605" s="62"/>
      <c r="BY605" s="62"/>
      <c r="BZ605" s="62"/>
      <c r="CA605" s="62"/>
      <c r="CB605" s="62"/>
    </row>
    <row r="606" ht="15.75" customHeight="1">
      <c r="A606" s="62"/>
      <c r="B606" s="79"/>
      <c r="C606" s="62"/>
      <c r="D606" s="62"/>
      <c r="E606" s="74"/>
      <c r="F606" s="62"/>
      <c r="G606" s="62"/>
      <c r="H606" s="62"/>
      <c r="I606" s="79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143"/>
      <c r="V606" s="143"/>
      <c r="W606" s="143"/>
      <c r="X606" s="62"/>
      <c r="Y606" s="62"/>
      <c r="Z606" s="143"/>
      <c r="AA606" s="143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78"/>
      <c r="BD606" s="78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62"/>
      <c r="BS606" s="62"/>
      <c r="BT606" s="62"/>
      <c r="BU606" s="62"/>
      <c r="BV606" s="62"/>
      <c r="BW606" s="62"/>
      <c r="BX606" s="62"/>
      <c r="BY606" s="62"/>
      <c r="BZ606" s="62"/>
      <c r="CA606" s="62"/>
      <c r="CB606" s="62"/>
    </row>
    <row r="607" ht="15.75" customHeight="1">
      <c r="A607" s="62"/>
      <c r="B607" s="79"/>
      <c r="C607" s="62"/>
      <c r="D607" s="62"/>
      <c r="E607" s="74"/>
      <c r="F607" s="62"/>
      <c r="G607" s="62"/>
      <c r="H607" s="62"/>
      <c r="I607" s="79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143"/>
      <c r="V607" s="143"/>
      <c r="W607" s="143"/>
      <c r="X607" s="62"/>
      <c r="Y607" s="62"/>
      <c r="Z607" s="143"/>
      <c r="AA607" s="143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78"/>
      <c r="BD607" s="78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62"/>
      <c r="BS607" s="62"/>
      <c r="BT607" s="62"/>
      <c r="BU607" s="62"/>
      <c r="BV607" s="62"/>
      <c r="BW607" s="62"/>
      <c r="BX607" s="62"/>
      <c r="BY607" s="62"/>
      <c r="BZ607" s="62"/>
      <c r="CA607" s="62"/>
      <c r="CB607" s="62"/>
    </row>
    <row r="608" ht="15.75" customHeight="1">
      <c r="A608" s="62"/>
      <c r="B608" s="79"/>
      <c r="C608" s="62"/>
      <c r="D608" s="62"/>
      <c r="E608" s="74"/>
      <c r="F608" s="62"/>
      <c r="G608" s="62"/>
      <c r="H608" s="62"/>
      <c r="I608" s="79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143"/>
      <c r="V608" s="143"/>
      <c r="W608" s="143"/>
      <c r="X608" s="62"/>
      <c r="Y608" s="62"/>
      <c r="Z608" s="143"/>
      <c r="AA608" s="143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78"/>
      <c r="BD608" s="78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  <c r="BS608" s="62"/>
      <c r="BT608" s="62"/>
      <c r="BU608" s="62"/>
      <c r="BV608" s="62"/>
      <c r="BW608" s="62"/>
      <c r="BX608" s="62"/>
      <c r="BY608" s="62"/>
      <c r="BZ608" s="62"/>
      <c r="CA608" s="62"/>
      <c r="CB608" s="62"/>
    </row>
    <row r="609" ht="15.75" customHeight="1">
      <c r="A609" s="62"/>
      <c r="B609" s="79"/>
      <c r="C609" s="62"/>
      <c r="D609" s="62"/>
      <c r="E609" s="74"/>
      <c r="F609" s="62"/>
      <c r="G609" s="62"/>
      <c r="H609" s="62"/>
      <c r="I609" s="79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143"/>
      <c r="V609" s="143"/>
      <c r="W609" s="143"/>
      <c r="X609" s="62"/>
      <c r="Y609" s="62"/>
      <c r="Z609" s="143"/>
      <c r="AA609" s="143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78"/>
      <c r="BD609" s="78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62"/>
      <c r="BS609" s="62"/>
      <c r="BT609" s="62"/>
      <c r="BU609" s="62"/>
      <c r="BV609" s="62"/>
      <c r="BW609" s="62"/>
      <c r="BX609" s="62"/>
      <c r="BY609" s="62"/>
      <c r="BZ609" s="62"/>
      <c r="CA609" s="62"/>
      <c r="CB609" s="62"/>
    </row>
    <row r="610" ht="15.75" customHeight="1">
      <c r="A610" s="62"/>
      <c r="B610" s="79"/>
      <c r="C610" s="62"/>
      <c r="D610" s="62"/>
      <c r="E610" s="74"/>
      <c r="F610" s="62"/>
      <c r="G610" s="62"/>
      <c r="H610" s="62"/>
      <c r="I610" s="79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143"/>
      <c r="V610" s="143"/>
      <c r="W610" s="143"/>
      <c r="X610" s="62"/>
      <c r="Y610" s="62"/>
      <c r="Z610" s="143"/>
      <c r="AA610" s="143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78"/>
      <c r="BD610" s="78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62"/>
      <c r="BS610" s="62"/>
      <c r="BT610" s="62"/>
      <c r="BU610" s="62"/>
      <c r="BV610" s="62"/>
      <c r="BW610" s="62"/>
      <c r="BX610" s="62"/>
      <c r="BY610" s="62"/>
      <c r="BZ610" s="62"/>
      <c r="CA610" s="62"/>
      <c r="CB610" s="62"/>
    </row>
    <row r="611" ht="15.75" customHeight="1">
      <c r="A611" s="62"/>
      <c r="B611" s="79"/>
      <c r="C611" s="62"/>
      <c r="D611" s="62"/>
      <c r="E611" s="74"/>
      <c r="F611" s="62"/>
      <c r="G611" s="62"/>
      <c r="H611" s="62"/>
      <c r="I611" s="79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143"/>
      <c r="V611" s="143"/>
      <c r="W611" s="143"/>
      <c r="X611" s="62"/>
      <c r="Y611" s="62"/>
      <c r="Z611" s="143"/>
      <c r="AA611" s="143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78"/>
      <c r="BD611" s="78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62"/>
      <c r="BS611" s="62"/>
      <c r="BT611" s="62"/>
      <c r="BU611" s="62"/>
      <c r="BV611" s="62"/>
      <c r="BW611" s="62"/>
      <c r="BX611" s="62"/>
      <c r="BY611" s="62"/>
      <c r="BZ611" s="62"/>
      <c r="CA611" s="62"/>
      <c r="CB611" s="62"/>
    </row>
    <row r="612" ht="15.75" customHeight="1">
      <c r="A612" s="62"/>
      <c r="B612" s="79"/>
      <c r="C612" s="62"/>
      <c r="D612" s="62"/>
      <c r="E612" s="74"/>
      <c r="F612" s="62"/>
      <c r="G612" s="62"/>
      <c r="H612" s="62"/>
      <c r="I612" s="79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143"/>
      <c r="V612" s="143"/>
      <c r="W612" s="143"/>
      <c r="X612" s="62"/>
      <c r="Y612" s="62"/>
      <c r="Z612" s="143"/>
      <c r="AA612" s="143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78"/>
      <c r="BD612" s="78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62"/>
      <c r="BS612" s="62"/>
      <c r="BT612" s="62"/>
      <c r="BU612" s="62"/>
      <c r="BV612" s="62"/>
      <c r="BW612" s="62"/>
      <c r="BX612" s="62"/>
      <c r="BY612" s="62"/>
      <c r="BZ612" s="62"/>
      <c r="CA612" s="62"/>
      <c r="CB612" s="62"/>
    </row>
    <row r="613" ht="15.75" customHeight="1">
      <c r="A613" s="62"/>
      <c r="B613" s="79"/>
      <c r="C613" s="62"/>
      <c r="D613" s="62"/>
      <c r="E613" s="74"/>
      <c r="F613" s="62"/>
      <c r="G613" s="62"/>
      <c r="H613" s="62"/>
      <c r="I613" s="79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143"/>
      <c r="V613" s="143"/>
      <c r="W613" s="143"/>
      <c r="X613" s="62"/>
      <c r="Y613" s="62"/>
      <c r="Z613" s="143"/>
      <c r="AA613" s="143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78"/>
      <c r="BD613" s="78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62"/>
      <c r="BS613" s="62"/>
      <c r="BT613" s="62"/>
      <c r="BU613" s="62"/>
      <c r="BV613" s="62"/>
      <c r="BW613" s="62"/>
      <c r="BX613" s="62"/>
      <c r="BY613" s="62"/>
      <c r="BZ613" s="62"/>
      <c r="CA613" s="62"/>
      <c r="CB613" s="62"/>
    </row>
    <row r="614" ht="15.75" customHeight="1">
      <c r="A614" s="62"/>
      <c r="B614" s="79"/>
      <c r="C614" s="62"/>
      <c r="D614" s="62"/>
      <c r="E614" s="74"/>
      <c r="F614" s="62"/>
      <c r="G614" s="62"/>
      <c r="H614" s="62"/>
      <c r="I614" s="79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143"/>
      <c r="V614" s="143"/>
      <c r="W614" s="143"/>
      <c r="X614" s="62"/>
      <c r="Y614" s="62"/>
      <c r="Z614" s="143"/>
      <c r="AA614" s="143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78"/>
      <c r="BD614" s="78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62"/>
      <c r="BS614" s="62"/>
      <c r="BT614" s="62"/>
      <c r="BU614" s="62"/>
      <c r="BV614" s="62"/>
      <c r="BW614" s="62"/>
      <c r="BX614" s="62"/>
      <c r="BY614" s="62"/>
      <c r="BZ614" s="62"/>
      <c r="CA614" s="62"/>
      <c r="CB614" s="62"/>
    </row>
    <row r="615" ht="15.75" customHeight="1">
      <c r="A615" s="62"/>
      <c r="B615" s="79"/>
      <c r="C615" s="62"/>
      <c r="D615" s="62"/>
      <c r="E615" s="74"/>
      <c r="F615" s="62"/>
      <c r="G615" s="62"/>
      <c r="H615" s="62"/>
      <c r="I615" s="79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143"/>
      <c r="V615" s="143"/>
      <c r="W615" s="143"/>
      <c r="X615" s="62"/>
      <c r="Y615" s="62"/>
      <c r="Z615" s="143"/>
      <c r="AA615" s="143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78"/>
      <c r="BD615" s="78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62"/>
      <c r="BS615" s="62"/>
      <c r="BT615" s="62"/>
      <c r="BU615" s="62"/>
      <c r="BV615" s="62"/>
      <c r="BW615" s="62"/>
      <c r="BX615" s="62"/>
      <c r="BY615" s="62"/>
      <c r="BZ615" s="62"/>
      <c r="CA615" s="62"/>
      <c r="CB615" s="62"/>
    </row>
    <row r="616" ht="15.75" customHeight="1">
      <c r="A616" s="62"/>
      <c r="B616" s="79"/>
      <c r="C616" s="62"/>
      <c r="D616" s="62"/>
      <c r="E616" s="74"/>
      <c r="F616" s="62"/>
      <c r="G616" s="62"/>
      <c r="H616" s="62"/>
      <c r="I616" s="79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143"/>
      <c r="V616" s="143"/>
      <c r="W616" s="143"/>
      <c r="X616" s="62"/>
      <c r="Y616" s="62"/>
      <c r="Z616" s="143"/>
      <c r="AA616" s="143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78"/>
      <c r="BD616" s="78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62"/>
      <c r="BS616" s="62"/>
      <c r="BT616" s="62"/>
      <c r="BU616" s="62"/>
      <c r="BV616" s="62"/>
      <c r="BW616" s="62"/>
      <c r="BX616" s="62"/>
      <c r="BY616" s="62"/>
      <c r="BZ616" s="62"/>
      <c r="CA616" s="62"/>
      <c r="CB616" s="62"/>
    </row>
    <row r="617" ht="15.75" customHeight="1">
      <c r="A617" s="62"/>
      <c r="B617" s="79"/>
      <c r="C617" s="62"/>
      <c r="D617" s="62"/>
      <c r="E617" s="74"/>
      <c r="F617" s="62"/>
      <c r="G617" s="62"/>
      <c r="H617" s="62"/>
      <c r="I617" s="79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143"/>
      <c r="V617" s="143"/>
      <c r="W617" s="143"/>
      <c r="X617" s="62"/>
      <c r="Y617" s="62"/>
      <c r="Z617" s="143"/>
      <c r="AA617" s="143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78"/>
      <c r="BD617" s="78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62"/>
      <c r="BS617" s="62"/>
      <c r="BT617" s="62"/>
      <c r="BU617" s="62"/>
      <c r="BV617" s="62"/>
      <c r="BW617" s="62"/>
      <c r="BX617" s="62"/>
      <c r="BY617" s="62"/>
      <c r="BZ617" s="62"/>
      <c r="CA617" s="62"/>
      <c r="CB617" s="62"/>
    </row>
    <row r="618" ht="15.75" customHeight="1">
      <c r="A618" s="62"/>
      <c r="B618" s="79"/>
      <c r="C618" s="62"/>
      <c r="D618" s="62"/>
      <c r="E618" s="74"/>
      <c r="F618" s="62"/>
      <c r="G618" s="62"/>
      <c r="H618" s="62"/>
      <c r="I618" s="79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143"/>
      <c r="V618" s="143"/>
      <c r="W618" s="143"/>
      <c r="X618" s="62"/>
      <c r="Y618" s="62"/>
      <c r="Z618" s="143"/>
      <c r="AA618" s="143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78"/>
      <c r="BD618" s="78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</row>
    <row r="619" ht="15.75" customHeight="1">
      <c r="A619" s="62"/>
      <c r="B619" s="79"/>
      <c r="C619" s="62"/>
      <c r="D619" s="62"/>
      <c r="E619" s="74"/>
      <c r="F619" s="62"/>
      <c r="G619" s="62"/>
      <c r="H619" s="62"/>
      <c r="I619" s="79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143"/>
      <c r="V619" s="143"/>
      <c r="W619" s="143"/>
      <c r="X619" s="62"/>
      <c r="Y619" s="62"/>
      <c r="Z619" s="143"/>
      <c r="AA619" s="143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78"/>
      <c r="BD619" s="78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</row>
    <row r="620" ht="15.75" customHeight="1">
      <c r="A620" s="62"/>
      <c r="B620" s="79"/>
      <c r="C620" s="62"/>
      <c r="D620" s="62"/>
      <c r="E620" s="74"/>
      <c r="F620" s="62"/>
      <c r="G620" s="62"/>
      <c r="H620" s="62"/>
      <c r="I620" s="79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143"/>
      <c r="V620" s="143"/>
      <c r="W620" s="143"/>
      <c r="X620" s="62"/>
      <c r="Y620" s="62"/>
      <c r="Z620" s="143"/>
      <c r="AA620" s="143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78"/>
      <c r="BD620" s="78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</row>
    <row r="621" ht="15.75" customHeight="1">
      <c r="A621" s="62"/>
      <c r="B621" s="79"/>
      <c r="C621" s="62"/>
      <c r="D621" s="62"/>
      <c r="E621" s="74"/>
      <c r="F621" s="62"/>
      <c r="G621" s="62"/>
      <c r="H621" s="62"/>
      <c r="I621" s="79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143"/>
      <c r="V621" s="143"/>
      <c r="W621" s="143"/>
      <c r="X621" s="62"/>
      <c r="Y621" s="62"/>
      <c r="Z621" s="143"/>
      <c r="AA621" s="143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78"/>
      <c r="BD621" s="78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</row>
    <row r="622" ht="15.75" customHeight="1">
      <c r="A622" s="62"/>
      <c r="B622" s="79"/>
      <c r="C622" s="62"/>
      <c r="D622" s="62"/>
      <c r="E622" s="74"/>
      <c r="F622" s="62"/>
      <c r="G622" s="62"/>
      <c r="H622" s="62"/>
      <c r="I622" s="79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143"/>
      <c r="V622" s="143"/>
      <c r="W622" s="143"/>
      <c r="X622" s="62"/>
      <c r="Y622" s="62"/>
      <c r="Z622" s="143"/>
      <c r="AA622" s="143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78"/>
      <c r="BD622" s="78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</row>
    <row r="623" ht="15.75" customHeight="1">
      <c r="A623" s="62"/>
      <c r="B623" s="79"/>
      <c r="C623" s="62"/>
      <c r="D623" s="62"/>
      <c r="E623" s="74"/>
      <c r="F623" s="62"/>
      <c r="G623" s="62"/>
      <c r="H623" s="62"/>
      <c r="I623" s="79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143"/>
      <c r="V623" s="143"/>
      <c r="W623" s="143"/>
      <c r="X623" s="62"/>
      <c r="Y623" s="62"/>
      <c r="Z623" s="143"/>
      <c r="AA623" s="143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78"/>
      <c r="BD623" s="78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</row>
    <row r="624" ht="15.75" customHeight="1">
      <c r="A624" s="62"/>
      <c r="B624" s="79"/>
      <c r="C624" s="62"/>
      <c r="D624" s="62"/>
      <c r="E624" s="74"/>
      <c r="F624" s="62"/>
      <c r="G624" s="62"/>
      <c r="H624" s="62"/>
      <c r="I624" s="79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143"/>
      <c r="V624" s="143"/>
      <c r="W624" s="143"/>
      <c r="X624" s="62"/>
      <c r="Y624" s="62"/>
      <c r="Z624" s="143"/>
      <c r="AA624" s="143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78"/>
      <c r="BD624" s="78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</row>
    <row r="625" ht="15.75" customHeight="1">
      <c r="A625" s="62"/>
      <c r="B625" s="79"/>
      <c r="C625" s="62"/>
      <c r="D625" s="62"/>
      <c r="E625" s="74"/>
      <c r="F625" s="62"/>
      <c r="G625" s="62"/>
      <c r="H625" s="62"/>
      <c r="I625" s="79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143"/>
      <c r="V625" s="143"/>
      <c r="W625" s="143"/>
      <c r="X625" s="62"/>
      <c r="Y625" s="62"/>
      <c r="Z625" s="143"/>
      <c r="AA625" s="143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78"/>
      <c r="BD625" s="78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</row>
    <row r="626" ht="15.75" customHeight="1">
      <c r="A626" s="62"/>
      <c r="B626" s="79"/>
      <c r="C626" s="62"/>
      <c r="D626" s="62"/>
      <c r="E626" s="74"/>
      <c r="F626" s="62"/>
      <c r="G626" s="62"/>
      <c r="H626" s="62"/>
      <c r="I626" s="79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143"/>
      <c r="V626" s="143"/>
      <c r="W626" s="143"/>
      <c r="X626" s="62"/>
      <c r="Y626" s="62"/>
      <c r="Z626" s="143"/>
      <c r="AA626" s="143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78"/>
      <c r="BD626" s="78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</row>
    <row r="627" ht="15.75" customHeight="1">
      <c r="A627" s="62"/>
      <c r="B627" s="79"/>
      <c r="C627" s="62"/>
      <c r="D627" s="62"/>
      <c r="E627" s="74"/>
      <c r="F627" s="62"/>
      <c r="G627" s="62"/>
      <c r="H627" s="62"/>
      <c r="I627" s="79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143"/>
      <c r="V627" s="143"/>
      <c r="W627" s="143"/>
      <c r="X627" s="62"/>
      <c r="Y627" s="62"/>
      <c r="Z627" s="143"/>
      <c r="AA627" s="143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78"/>
      <c r="BD627" s="78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</row>
    <row r="628" ht="15.75" customHeight="1">
      <c r="A628" s="62"/>
      <c r="B628" s="79"/>
      <c r="C628" s="62"/>
      <c r="D628" s="62"/>
      <c r="E628" s="74"/>
      <c r="F628" s="62"/>
      <c r="G628" s="62"/>
      <c r="H628" s="62"/>
      <c r="I628" s="79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143"/>
      <c r="V628" s="143"/>
      <c r="W628" s="143"/>
      <c r="X628" s="62"/>
      <c r="Y628" s="62"/>
      <c r="Z628" s="143"/>
      <c r="AA628" s="143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78"/>
      <c r="BD628" s="78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62"/>
      <c r="BS628" s="62"/>
      <c r="BT628" s="62"/>
      <c r="BU628" s="62"/>
      <c r="BV628" s="62"/>
      <c r="BW628" s="62"/>
      <c r="BX628" s="62"/>
      <c r="BY628" s="62"/>
      <c r="BZ628" s="62"/>
      <c r="CA628" s="62"/>
      <c r="CB628" s="62"/>
    </row>
    <row r="629" ht="15.75" customHeight="1">
      <c r="A629" s="62"/>
      <c r="B629" s="79"/>
      <c r="C629" s="62"/>
      <c r="D629" s="62"/>
      <c r="E629" s="74"/>
      <c r="F629" s="62"/>
      <c r="G629" s="62"/>
      <c r="H629" s="62"/>
      <c r="I629" s="79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143"/>
      <c r="V629" s="143"/>
      <c r="W629" s="143"/>
      <c r="X629" s="62"/>
      <c r="Y629" s="62"/>
      <c r="Z629" s="143"/>
      <c r="AA629" s="143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78"/>
      <c r="BD629" s="78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62"/>
      <c r="BS629" s="62"/>
      <c r="BT629" s="62"/>
      <c r="BU629" s="62"/>
      <c r="BV629" s="62"/>
      <c r="BW629" s="62"/>
      <c r="BX629" s="62"/>
      <c r="BY629" s="62"/>
      <c r="BZ629" s="62"/>
      <c r="CA629" s="62"/>
      <c r="CB629" s="62"/>
    </row>
    <row r="630" ht="15.75" customHeight="1">
      <c r="A630" s="62"/>
      <c r="B630" s="79"/>
      <c r="C630" s="62"/>
      <c r="D630" s="62"/>
      <c r="E630" s="74"/>
      <c r="F630" s="62"/>
      <c r="G630" s="62"/>
      <c r="H630" s="62"/>
      <c r="I630" s="79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143"/>
      <c r="V630" s="143"/>
      <c r="W630" s="143"/>
      <c r="X630" s="62"/>
      <c r="Y630" s="62"/>
      <c r="Z630" s="143"/>
      <c r="AA630" s="143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78"/>
      <c r="BD630" s="78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</row>
    <row r="631" ht="15.75" customHeight="1">
      <c r="A631" s="62"/>
      <c r="B631" s="79"/>
      <c r="C631" s="62"/>
      <c r="D631" s="62"/>
      <c r="E631" s="74"/>
      <c r="F631" s="62"/>
      <c r="G631" s="62"/>
      <c r="H631" s="62"/>
      <c r="I631" s="79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143"/>
      <c r="V631" s="143"/>
      <c r="W631" s="143"/>
      <c r="X631" s="62"/>
      <c r="Y631" s="62"/>
      <c r="Z631" s="143"/>
      <c r="AA631" s="143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78"/>
      <c r="BD631" s="78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</row>
    <row r="632" ht="15.75" customHeight="1">
      <c r="A632" s="62"/>
      <c r="B632" s="79"/>
      <c r="C632" s="62"/>
      <c r="D632" s="62"/>
      <c r="E632" s="74"/>
      <c r="F632" s="62"/>
      <c r="G632" s="62"/>
      <c r="H632" s="62"/>
      <c r="I632" s="79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143"/>
      <c r="V632" s="143"/>
      <c r="W632" s="143"/>
      <c r="X632" s="62"/>
      <c r="Y632" s="62"/>
      <c r="Z632" s="143"/>
      <c r="AA632" s="143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78"/>
      <c r="BD632" s="78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</row>
    <row r="633" ht="15.75" customHeight="1">
      <c r="A633" s="62"/>
      <c r="B633" s="79"/>
      <c r="C633" s="62"/>
      <c r="D633" s="62"/>
      <c r="E633" s="74"/>
      <c r="F633" s="62"/>
      <c r="G633" s="62"/>
      <c r="H633" s="62"/>
      <c r="I633" s="79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143"/>
      <c r="V633" s="143"/>
      <c r="W633" s="143"/>
      <c r="X633" s="62"/>
      <c r="Y633" s="62"/>
      <c r="Z633" s="143"/>
      <c r="AA633" s="143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78"/>
      <c r="BD633" s="78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62"/>
      <c r="BS633" s="62"/>
      <c r="BT633" s="62"/>
      <c r="BU633" s="62"/>
      <c r="BV633" s="62"/>
      <c r="BW633" s="62"/>
      <c r="BX633" s="62"/>
      <c r="BY633" s="62"/>
      <c r="BZ633" s="62"/>
      <c r="CA633" s="62"/>
      <c r="CB633" s="62"/>
    </row>
    <row r="634" ht="15.75" customHeight="1">
      <c r="A634" s="62"/>
      <c r="B634" s="79"/>
      <c r="C634" s="62"/>
      <c r="D634" s="62"/>
      <c r="E634" s="74"/>
      <c r="F634" s="62"/>
      <c r="G634" s="62"/>
      <c r="H634" s="62"/>
      <c r="I634" s="79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143"/>
      <c r="V634" s="143"/>
      <c r="W634" s="143"/>
      <c r="X634" s="62"/>
      <c r="Y634" s="62"/>
      <c r="Z634" s="143"/>
      <c r="AA634" s="143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78"/>
      <c r="BD634" s="78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62"/>
      <c r="BS634" s="62"/>
      <c r="BT634" s="62"/>
      <c r="BU634" s="62"/>
      <c r="BV634" s="62"/>
      <c r="BW634" s="62"/>
      <c r="BX634" s="62"/>
      <c r="BY634" s="62"/>
      <c r="BZ634" s="62"/>
      <c r="CA634" s="62"/>
      <c r="CB634" s="62"/>
    </row>
    <row r="635" ht="15.75" customHeight="1">
      <c r="A635" s="62"/>
      <c r="B635" s="79"/>
      <c r="C635" s="62"/>
      <c r="D635" s="62"/>
      <c r="E635" s="74"/>
      <c r="F635" s="62"/>
      <c r="G635" s="62"/>
      <c r="H635" s="62"/>
      <c r="I635" s="79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143"/>
      <c r="V635" s="143"/>
      <c r="W635" s="143"/>
      <c r="X635" s="62"/>
      <c r="Y635" s="62"/>
      <c r="Z635" s="143"/>
      <c r="AA635" s="143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78"/>
      <c r="BD635" s="78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62"/>
      <c r="BS635" s="62"/>
      <c r="BT635" s="62"/>
      <c r="BU635" s="62"/>
      <c r="BV635" s="62"/>
      <c r="BW635" s="62"/>
      <c r="BX635" s="62"/>
      <c r="BY635" s="62"/>
      <c r="BZ635" s="62"/>
      <c r="CA635" s="62"/>
      <c r="CB635" s="62"/>
    </row>
    <row r="636" ht="15.75" customHeight="1">
      <c r="A636" s="62"/>
      <c r="B636" s="79"/>
      <c r="C636" s="62"/>
      <c r="D636" s="62"/>
      <c r="E636" s="74"/>
      <c r="F636" s="62"/>
      <c r="G636" s="62"/>
      <c r="H636" s="62"/>
      <c r="I636" s="79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143"/>
      <c r="V636" s="143"/>
      <c r="W636" s="143"/>
      <c r="X636" s="62"/>
      <c r="Y636" s="62"/>
      <c r="Z636" s="143"/>
      <c r="AA636" s="143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78"/>
      <c r="BD636" s="78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62"/>
      <c r="BS636" s="62"/>
      <c r="BT636" s="62"/>
      <c r="BU636" s="62"/>
      <c r="BV636" s="62"/>
      <c r="BW636" s="62"/>
      <c r="BX636" s="62"/>
      <c r="BY636" s="62"/>
      <c r="BZ636" s="62"/>
      <c r="CA636" s="62"/>
      <c r="CB636" s="62"/>
    </row>
    <row r="637" ht="15.75" customHeight="1">
      <c r="A637" s="62"/>
      <c r="B637" s="79"/>
      <c r="C637" s="62"/>
      <c r="D637" s="62"/>
      <c r="E637" s="74"/>
      <c r="F637" s="62"/>
      <c r="G637" s="62"/>
      <c r="H637" s="62"/>
      <c r="I637" s="79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143"/>
      <c r="V637" s="143"/>
      <c r="W637" s="143"/>
      <c r="X637" s="62"/>
      <c r="Y637" s="62"/>
      <c r="Z637" s="143"/>
      <c r="AA637" s="143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78"/>
      <c r="BD637" s="78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62"/>
      <c r="BS637" s="62"/>
      <c r="BT637" s="62"/>
      <c r="BU637" s="62"/>
      <c r="BV637" s="62"/>
      <c r="BW637" s="62"/>
      <c r="BX637" s="62"/>
      <c r="BY637" s="62"/>
      <c r="BZ637" s="62"/>
      <c r="CA637" s="62"/>
      <c r="CB637" s="62"/>
    </row>
    <row r="638" ht="15.75" customHeight="1">
      <c r="A638" s="62"/>
      <c r="B638" s="79"/>
      <c r="C638" s="62"/>
      <c r="D638" s="62"/>
      <c r="E638" s="74"/>
      <c r="F638" s="62"/>
      <c r="G638" s="62"/>
      <c r="H638" s="62"/>
      <c r="I638" s="79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143"/>
      <c r="V638" s="143"/>
      <c r="W638" s="143"/>
      <c r="X638" s="62"/>
      <c r="Y638" s="62"/>
      <c r="Z638" s="143"/>
      <c r="AA638" s="143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78"/>
      <c r="BD638" s="78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62"/>
      <c r="BS638" s="62"/>
      <c r="BT638" s="62"/>
      <c r="BU638" s="62"/>
      <c r="BV638" s="62"/>
      <c r="BW638" s="62"/>
      <c r="BX638" s="62"/>
      <c r="BY638" s="62"/>
      <c r="BZ638" s="62"/>
      <c r="CA638" s="62"/>
      <c r="CB638" s="62"/>
    </row>
    <row r="639" ht="15.75" customHeight="1">
      <c r="A639" s="62"/>
      <c r="B639" s="79"/>
      <c r="C639" s="62"/>
      <c r="D639" s="62"/>
      <c r="E639" s="74"/>
      <c r="F639" s="62"/>
      <c r="G639" s="62"/>
      <c r="H639" s="62"/>
      <c r="I639" s="79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143"/>
      <c r="V639" s="143"/>
      <c r="W639" s="143"/>
      <c r="X639" s="62"/>
      <c r="Y639" s="62"/>
      <c r="Z639" s="143"/>
      <c r="AA639" s="143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78"/>
      <c r="BD639" s="78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  <c r="BS639" s="62"/>
      <c r="BT639" s="62"/>
      <c r="BU639" s="62"/>
      <c r="BV639" s="62"/>
      <c r="BW639" s="62"/>
      <c r="BX639" s="62"/>
      <c r="BY639" s="62"/>
      <c r="BZ639" s="62"/>
      <c r="CA639" s="62"/>
      <c r="CB639" s="62"/>
    </row>
    <row r="640" ht="15.75" customHeight="1">
      <c r="A640" s="62"/>
      <c r="B640" s="79"/>
      <c r="C640" s="62"/>
      <c r="D640" s="62"/>
      <c r="E640" s="74"/>
      <c r="F640" s="62"/>
      <c r="G640" s="62"/>
      <c r="H640" s="62"/>
      <c r="I640" s="79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143"/>
      <c r="V640" s="143"/>
      <c r="W640" s="143"/>
      <c r="X640" s="62"/>
      <c r="Y640" s="62"/>
      <c r="Z640" s="143"/>
      <c r="AA640" s="143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78"/>
      <c r="BD640" s="78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62"/>
      <c r="BS640" s="62"/>
      <c r="BT640" s="62"/>
      <c r="BU640" s="62"/>
      <c r="BV640" s="62"/>
      <c r="BW640" s="62"/>
      <c r="BX640" s="62"/>
      <c r="BY640" s="62"/>
      <c r="BZ640" s="62"/>
      <c r="CA640" s="62"/>
      <c r="CB640" s="62"/>
    </row>
    <row r="641" ht="15.75" customHeight="1">
      <c r="A641" s="62"/>
      <c r="B641" s="79"/>
      <c r="C641" s="62"/>
      <c r="D641" s="62"/>
      <c r="E641" s="74"/>
      <c r="F641" s="62"/>
      <c r="G641" s="62"/>
      <c r="H641" s="62"/>
      <c r="I641" s="79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143"/>
      <c r="V641" s="143"/>
      <c r="W641" s="143"/>
      <c r="X641" s="62"/>
      <c r="Y641" s="62"/>
      <c r="Z641" s="143"/>
      <c r="AA641" s="143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78"/>
      <c r="BD641" s="78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62"/>
      <c r="BS641" s="62"/>
      <c r="BT641" s="62"/>
      <c r="BU641" s="62"/>
      <c r="BV641" s="62"/>
      <c r="BW641" s="62"/>
      <c r="BX641" s="62"/>
      <c r="BY641" s="62"/>
      <c r="BZ641" s="62"/>
      <c r="CA641" s="62"/>
      <c r="CB641" s="62"/>
    </row>
    <row r="642" ht="15.75" customHeight="1">
      <c r="A642" s="62"/>
      <c r="B642" s="79"/>
      <c r="C642" s="62"/>
      <c r="D642" s="62"/>
      <c r="E642" s="74"/>
      <c r="F642" s="62"/>
      <c r="G642" s="62"/>
      <c r="H642" s="62"/>
      <c r="I642" s="79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143"/>
      <c r="V642" s="143"/>
      <c r="W642" s="143"/>
      <c r="X642" s="62"/>
      <c r="Y642" s="62"/>
      <c r="Z642" s="143"/>
      <c r="AA642" s="143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78"/>
      <c r="BD642" s="78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62"/>
      <c r="BS642" s="62"/>
      <c r="BT642" s="62"/>
      <c r="BU642" s="62"/>
      <c r="BV642" s="62"/>
      <c r="BW642" s="62"/>
      <c r="BX642" s="62"/>
      <c r="BY642" s="62"/>
      <c r="BZ642" s="62"/>
      <c r="CA642" s="62"/>
      <c r="CB642" s="62"/>
    </row>
    <row r="643" ht="15.75" customHeight="1">
      <c r="A643" s="62"/>
      <c r="B643" s="79"/>
      <c r="C643" s="62"/>
      <c r="D643" s="62"/>
      <c r="E643" s="74"/>
      <c r="F643" s="62"/>
      <c r="G643" s="62"/>
      <c r="H643" s="62"/>
      <c r="I643" s="79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143"/>
      <c r="V643" s="143"/>
      <c r="W643" s="143"/>
      <c r="X643" s="62"/>
      <c r="Y643" s="62"/>
      <c r="Z643" s="143"/>
      <c r="AA643" s="143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78"/>
      <c r="BD643" s="78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62"/>
      <c r="BS643" s="62"/>
      <c r="BT643" s="62"/>
      <c r="BU643" s="62"/>
      <c r="BV643" s="62"/>
      <c r="BW643" s="62"/>
      <c r="BX643" s="62"/>
      <c r="BY643" s="62"/>
      <c r="BZ643" s="62"/>
      <c r="CA643" s="62"/>
      <c r="CB643" s="62"/>
    </row>
    <row r="644" ht="15.75" customHeight="1">
      <c r="A644" s="62"/>
      <c r="B644" s="79"/>
      <c r="C644" s="62"/>
      <c r="D644" s="62"/>
      <c r="E644" s="74"/>
      <c r="F644" s="62"/>
      <c r="G644" s="62"/>
      <c r="H644" s="62"/>
      <c r="I644" s="79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143"/>
      <c r="V644" s="143"/>
      <c r="W644" s="143"/>
      <c r="X644" s="62"/>
      <c r="Y644" s="62"/>
      <c r="Z644" s="143"/>
      <c r="AA644" s="143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78"/>
      <c r="BD644" s="78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62"/>
      <c r="BS644" s="62"/>
      <c r="BT644" s="62"/>
      <c r="BU644" s="62"/>
      <c r="BV644" s="62"/>
      <c r="BW644" s="62"/>
      <c r="BX644" s="62"/>
      <c r="BY644" s="62"/>
      <c r="BZ644" s="62"/>
      <c r="CA644" s="62"/>
      <c r="CB644" s="62"/>
    </row>
    <row r="645" ht="15.75" customHeight="1">
      <c r="A645" s="62"/>
      <c r="B645" s="79"/>
      <c r="C645" s="62"/>
      <c r="D645" s="62"/>
      <c r="E645" s="74"/>
      <c r="F645" s="62"/>
      <c r="G645" s="62"/>
      <c r="H645" s="62"/>
      <c r="I645" s="79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143"/>
      <c r="V645" s="143"/>
      <c r="W645" s="143"/>
      <c r="X645" s="62"/>
      <c r="Y645" s="62"/>
      <c r="Z645" s="143"/>
      <c r="AA645" s="143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78"/>
      <c r="BD645" s="78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62"/>
      <c r="BS645" s="62"/>
      <c r="BT645" s="62"/>
      <c r="BU645" s="62"/>
      <c r="BV645" s="62"/>
      <c r="BW645" s="62"/>
      <c r="BX645" s="62"/>
      <c r="BY645" s="62"/>
      <c r="BZ645" s="62"/>
      <c r="CA645" s="62"/>
      <c r="CB645" s="62"/>
    </row>
    <row r="646" ht="15.75" customHeight="1">
      <c r="A646" s="62"/>
      <c r="B646" s="79"/>
      <c r="C646" s="62"/>
      <c r="D646" s="62"/>
      <c r="E646" s="74"/>
      <c r="F646" s="62"/>
      <c r="G646" s="62"/>
      <c r="H646" s="62"/>
      <c r="I646" s="79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143"/>
      <c r="V646" s="143"/>
      <c r="W646" s="143"/>
      <c r="X646" s="62"/>
      <c r="Y646" s="62"/>
      <c r="Z646" s="143"/>
      <c r="AA646" s="143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78"/>
      <c r="BD646" s="78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62"/>
      <c r="BS646" s="62"/>
      <c r="BT646" s="62"/>
      <c r="BU646" s="62"/>
      <c r="BV646" s="62"/>
      <c r="BW646" s="62"/>
      <c r="BX646" s="62"/>
      <c r="BY646" s="62"/>
      <c r="BZ646" s="62"/>
      <c r="CA646" s="62"/>
      <c r="CB646" s="62"/>
    </row>
    <row r="647" ht="15.75" customHeight="1">
      <c r="A647" s="62"/>
      <c r="B647" s="79"/>
      <c r="C647" s="62"/>
      <c r="D647" s="62"/>
      <c r="E647" s="74"/>
      <c r="F647" s="62"/>
      <c r="G647" s="62"/>
      <c r="H647" s="62"/>
      <c r="I647" s="79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143"/>
      <c r="V647" s="143"/>
      <c r="W647" s="143"/>
      <c r="X647" s="62"/>
      <c r="Y647" s="62"/>
      <c r="Z647" s="143"/>
      <c r="AA647" s="143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78"/>
      <c r="BD647" s="78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62"/>
      <c r="BS647" s="62"/>
      <c r="BT647" s="62"/>
      <c r="BU647" s="62"/>
      <c r="BV647" s="62"/>
      <c r="BW647" s="62"/>
      <c r="BX647" s="62"/>
      <c r="BY647" s="62"/>
      <c r="BZ647" s="62"/>
      <c r="CA647" s="62"/>
      <c r="CB647" s="62"/>
    </row>
    <row r="648" ht="15.75" customHeight="1">
      <c r="A648" s="62"/>
      <c r="B648" s="79"/>
      <c r="C648" s="62"/>
      <c r="D648" s="62"/>
      <c r="E648" s="74"/>
      <c r="F648" s="62"/>
      <c r="G648" s="62"/>
      <c r="H648" s="62"/>
      <c r="I648" s="79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143"/>
      <c r="V648" s="143"/>
      <c r="W648" s="143"/>
      <c r="X648" s="62"/>
      <c r="Y648" s="62"/>
      <c r="Z648" s="143"/>
      <c r="AA648" s="143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78"/>
      <c r="BD648" s="78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62"/>
      <c r="BS648" s="62"/>
      <c r="BT648" s="62"/>
      <c r="BU648" s="62"/>
      <c r="BV648" s="62"/>
      <c r="BW648" s="62"/>
      <c r="BX648" s="62"/>
      <c r="BY648" s="62"/>
      <c r="BZ648" s="62"/>
      <c r="CA648" s="62"/>
      <c r="CB648" s="62"/>
    </row>
    <row r="649" ht="15.75" customHeight="1">
      <c r="A649" s="62"/>
      <c r="B649" s="79"/>
      <c r="C649" s="62"/>
      <c r="D649" s="62"/>
      <c r="E649" s="74"/>
      <c r="F649" s="62"/>
      <c r="G649" s="62"/>
      <c r="H649" s="62"/>
      <c r="I649" s="79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143"/>
      <c r="V649" s="143"/>
      <c r="W649" s="143"/>
      <c r="X649" s="62"/>
      <c r="Y649" s="62"/>
      <c r="Z649" s="143"/>
      <c r="AA649" s="143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78"/>
      <c r="BD649" s="78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62"/>
      <c r="BS649" s="62"/>
      <c r="BT649" s="62"/>
      <c r="BU649" s="62"/>
      <c r="BV649" s="62"/>
      <c r="BW649" s="62"/>
      <c r="BX649" s="62"/>
      <c r="BY649" s="62"/>
      <c r="BZ649" s="62"/>
      <c r="CA649" s="62"/>
      <c r="CB649" s="62"/>
    </row>
    <row r="650" ht="15.75" customHeight="1">
      <c r="A650" s="62"/>
      <c r="B650" s="79"/>
      <c r="C650" s="62"/>
      <c r="D650" s="62"/>
      <c r="E650" s="74"/>
      <c r="F650" s="62"/>
      <c r="G650" s="62"/>
      <c r="H650" s="62"/>
      <c r="I650" s="79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143"/>
      <c r="V650" s="143"/>
      <c r="W650" s="143"/>
      <c r="X650" s="62"/>
      <c r="Y650" s="62"/>
      <c r="Z650" s="143"/>
      <c r="AA650" s="143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78"/>
      <c r="BD650" s="78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62"/>
      <c r="BS650" s="62"/>
      <c r="BT650" s="62"/>
      <c r="BU650" s="62"/>
      <c r="BV650" s="62"/>
      <c r="BW650" s="62"/>
      <c r="BX650" s="62"/>
      <c r="BY650" s="62"/>
      <c r="BZ650" s="62"/>
      <c r="CA650" s="62"/>
      <c r="CB650" s="62"/>
    </row>
    <row r="651" ht="15.75" customHeight="1">
      <c r="A651" s="62"/>
      <c r="B651" s="79"/>
      <c r="C651" s="62"/>
      <c r="D651" s="62"/>
      <c r="E651" s="74"/>
      <c r="F651" s="62"/>
      <c r="G651" s="62"/>
      <c r="H651" s="62"/>
      <c r="I651" s="79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143"/>
      <c r="V651" s="143"/>
      <c r="W651" s="143"/>
      <c r="X651" s="62"/>
      <c r="Y651" s="62"/>
      <c r="Z651" s="143"/>
      <c r="AA651" s="143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78"/>
      <c r="BD651" s="78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62"/>
      <c r="BS651" s="62"/>
      <c r="BT651" s="62"/>
      <c r="BU651" s="62"/>
      <c r="BV651" s="62"/>
      <c r="BW651" s="62"/>
      <c r="BX651" s="62"/>
      <c r="BY651" s="62"/>
      <c r="BZ651" s="62"/>
      <c r="CA651" s="62"/>
      <c r="CB651" s="62"/>
    </row>
    <row r="652" ht="15.75" customHeight="1">
      <c r="A652" s="62"/>
      <c r="B652" s="79"/>
      <c r="C652" s="62"/>
      <c r="D652" s="62"/>
      <c r="E652" s="74"/>
      <c r="F652" s="62"/>
      <c r="G652" s="62"/>
      <c r="H652" s="62"/>
      <c r="I652" s="79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143"/>
      <c r="V652" s="143"/>
      <c r="W652" s="143"/>
      <c r="X652" s="62"/>
      <c r="Y652" s="62"/>
      <c r="Z652" s="143"/>
      <c r="AA652" s="143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78"/>
      <c r="BD652" s="78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  <c r="BS652" s="62"/>
      <c r="BT652" s="62"/>
      <c r="BU652" s="62"/>
      <c r="BV652" s="62"/>
      <c r="BW652" s="62"/>
      <c r="BX652" s="62"/>
      <c r="BY652" s="62"/>
      <c r="BZ652" s="62"/>
      <c r="CA652" s="62"/>
      <c r="CB652" s="62"/>
    </row>
    <row r="653" ht="15.75" customHeight="1">
      <c r="A653" s="62"/>
      <c r="B653" s="79"/>
      <c r="C653" s="62"/>
      <c r="D653" s="62"/>
      <c r="E653" s="74"/>
      <c r="F653" s="62"/>
      <c r="G653" s="62"/>
      <c r="H653" s="62"/>
      <c r="I653" s="79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143"/>
      <c r="V653" s="143"/>
      <c r="W653" s="143"/>
      <c r="X653" s="62"/>
      <c r="Y653" s="62"/>
      <c r="Z653" s="143"/>
      <c r="AA653" s="143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78"/>
      <c r="BD653" s="78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  <c r="BS653" s="62"/>
      <c r="BT653" s="62"/>
      <c r="BU653" s="62"/>
      <c r="BV653" s="62"/>
      <c r="BW653" s="62"/>
      <c r="BX653" s="62"/>
      <c r="BY653" s="62"/>
      <c r="BZ653" s="62"/>
      <c r="CA653" s="62"/>
      <c r="CB653" s="62"/>
    </row>
    <row r="654" ht="15.75" customHeight="1">
      <c r="A654" s="62"/>
      <c r="B654" s="79"/>
      <c r="C654" s="62"/>
      <c r="D654" s="62"/>
      <c r="E654" s="74"/>
      <c r="F654" s="62"/>
      <c r="G654" s="62"/>
      <c r="H654" s="62"/>
      <c r="I654" s="79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143"/>
      <c r="V654" s="143"/>
      <c r="W654" s="143"/>
      <c r="X654" s="62"/>
      <c r="Y654" s="62"/>
      <c r="Z654" s="143"/>
      <c r="AA654" s="143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78"/>
      <c r="BD654" s="78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62"/>
      <c r="BS654" s="62"/>
      <c r="BT654" s="62"/>
      <c r="BU654" s="62"/>
      <c r="BV654" s="62"/>
      <c r="BW654" s="62"/>
      <c r="BX654" s="62"/>
      <c r="BY654" s="62"/>
      <c r="BZ654" s="62"/>
      <c r="CA654" s="62"/>
      <c r="CB654" s="62"/>
    </row>
    <row r="655" ht="15.75" customHeight="1">
      <c r="A655" s="62"/>
      <c r="B655" s="79"/>
      <c r="C655" s="62"/>
      <c r="D655" s="62"/>
      <c r="E655" s="74"/>
      <c r="F655" s="62"/>
      <c r="G655" s="62"/>
      <c r="H655" s="62"/>
      <c r="I655" s="79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143"/>
      <c r="V655" s="143"/>
      <c r="W655" s="143"/>
      <c r="X655" s="62"/>
      <c r="Y655" s="62"/>
      <c r="Z655" s="143"/>
      <c r="AA655" s="143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78"/>
      <c r="BD655" s="78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62"/>
      <c r="BS655" s="62"/>
      <c r="BT655" s="62"/>
      <c r="BU655" s="62"/>
      <c r="BV655" s="62"/>
      <c r="BW655" s="62"/>
      <c r="BX655" s="62"/>
      <c r="BY655" s="62"/>
      <c r="BZ655" s="62"/>
      <c r="CA655" s="62"/>
      <c r="CB655" s="62"/>
    </row>
    <row r="656" ht="15.75" customHeight="1">
      <c r="A656" s="62"/>
      <c r="B656" s="79"/>
      <c r="C656" s="62"/>
      <c r="D656" s="62"/>
      <c r="E656" s="74"/>
      <c r="F656" s="62"/>
      <c r="G656" s="62"/>
      <c r="H656" s="62"/>
      <c r="I656" s="79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143"/>
      <c r="V656" s="143"/>
      <c r="W656" s="143"/>
      <c r="X656" s="62"/>
      <c r="Y656" s="62"/>
      <c r="Z656" s="143"/>
      <c r="AA656" s="143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78"/>
      <c r="BD656" s="78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</row>
    <row r="657" ht="15.75" customHeight="1">
      <c r="A657" s="62"/>
      <c r="B657" s="79"/>
      <c r="C657" s="62"/>
      <c r="D657" s="62"/>
      <c r="E657" s="74"/>
      <c r="F657" s="62"/>
      <c r="G657" s="62"/>
      <c r="H657" s="62"/>
      <c r="I657" s="79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143"/>
      <c r="V657" s="143"/>
      <c r="W657" s="143"/>
      <c r="X657" s="62"/>
      <c r="Y657" s="62"/>
      <c r="Z657" s="143"/>
      <c r="AA657" s="143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78"/>
      <c r="BD657" s="78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</row>
    <row r="658" ht="15.75" customHeight="1">
      <c r="A658" s="62"/>
      <c r="B658" s="79"/>
      <c r="C658" s="62"/>
      <c r="D658" s="62"/>
      <c r="E658" s="74"/>
      <c r="F658" s="62"/>
      <c r="G658" s="62"/>
      <c r="H658" s="62"/>
      <c r="I658" s="79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143"/>
      <c r="V658" s="143"/>
      <c r="W658" s="143"/>
      <c r="X658" s="62"/>
      <c r="Y658" s="62"/>
      <c r="Z658" s="143"/>
      <c r="AA658" s="143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78"/>
      <c r="BD658" s="78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</row>
    <row r="659" ht="15.75" customHeight="1">
      <c r="A659" s="62"/>
      <c r="B659" s="79"/>
      <c r="C659" s="62"/>
      <c r="D659" s="62"/>
      <c r="E659" s="74"/>
      <c r="F659" s="62"/>
      <c r="G659" s="62"/>
      <c r="H659" s="62"/>
      <c r="I659" s="79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143"/>
      <c r="V659" s="143"/>
      <c r="W659" s="143"/>
      <c r="X659" s="62"/>
      <c r="Y659" s="62"/>
      <c r="Z659" s="143"/>
      <c r="AA659" s="143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78"/>
      <c r="BD659" s="78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</row>
    <row r="660" ht="15.75" customHeight="1">
      <c r="A660" s="62"/>
      <c r="B660" s="79"/>
      <c r="C660" s="62"/>
      <c r="D660" s="62"/>
      <c r="E660" s="74"/>
      <c r="F660" s="62"/>
      <c r="G660" s="62"/>
      <c r="H660" s="62"/>
      <c r="I660" s="79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143"/>
      <c r="V660" s="143"/>
      <c r="W660" s="143"/>
      <c r="X660" s="62"/>
      <c r="Y660" s="62"/>
      <c r="Z660" s="143"/>
      <c r="AA660" s="143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78"/>
      <c r="BD660" s="78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</row>
    <row r="661" ht="15.75" customHeight="1">
      <c r="A661" s="62"/>
      <c r="B661" s="79"/>
      <c r="C661" s="62"/>
      <c r="D661" s="62"/>
      <c r="E661" s="74"/>
      <c r="F661" s="62"/>
      <c r="G661" s="62"/>
      <c r="H661" s="62"/>
      <c r="I661" s="79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143"/>
      <c r="V661" s="143"/>
      <c r="W661" s="143"/>
      <c r="X661" s="62"/>
      <c r="Y661" s="62"/>
      <c r="Z661" s="143"/>
      <c r="AA661" s="143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78"/>
      <c r="BD661" s="78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</row>
    <row r="662" ht="15.75" customHeight="1">
      <c r="A662" s="62"/>
      <c r="B662" s="79"/>
      <c r="C662" s="62"/>
      <c r="D662" s="62"/>
      <c r="E662" s="74"/>
      <c r="F662" s="62"/>
      <c r="G662" s="62"/>
      <c r="H662" s="62"/>
      <c r="I662" s="79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143"/>
      <c r="V662" s="143"/>
      <c r="W662" s="143"/>
      <c r="X662" s="62"/>
      <c r="Y662" s="62"/>
      <c r="Z662" s="143"/>
      <c r="AA662" s="143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78"/>
      <c r="BD662" s="78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</row>
    <row r="663" ht="15.75" customHeight="1">
      <c r="A663" s="62"/>
      <c r="B663" s="79"/>
      <c r="C663" s="62"/>
      <c r="D663" s="62"/>
      <c r="E663" s="74"/>
      <c r="F663" s="62"/>
      <c r="G663" s="62"/>
      <c r="H663" s="62"/>
      <c r="I663" s="79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143"/>
      <c r="V663" s="143"/>
      <c r="W663" s="143"/>
      <c r="X663" s="62"/>
      <c r="Y663" s="62"/>
      <c r="Z663" s="143"/>
      <c r="AA663" s="143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78"/>
      <c r="BD663" s="78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</row>
    <row r="664" ht="15.75" customHeight="1">
      <c r="A664" s="62"/>
      <c r="B664" s="79"/>
      <c r="C664" s="62"/>
      <c r="D664" s="62"/>
      <c r="E664" s="74"/>
      <c r="F664" s="62"/>
      <c r="G664" s="62"/>
      <c r="H664" s="62"/>
      <c r="I664" s="79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143"/>
      <c r="V664" s="143"/>
      <c r="W664" s="143"/>
      <c r="X664" s="62"/>
      <c r="Y664" s="62"/>
      <c r="Z664" s="143"/>
      <c r="AA664" s="143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78"/>
      <c r="BD664" s="78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</row>
    <row r="665" ht="15.75" customHeight="1">
      <c r="A665" s="62"/>
      <c r="B665" s="79"/>
      <c r="C665" s="62"/>
      <c r="D665" s="62"/>
      <c r="E665" s="74"/>
      <c r="F665" s="62"/>
      <c r="G665" s="62"/>
      <c r="H665" s="62"/>
      <c r="I665" s="79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143"/>
      <c r="V665" s="143"/>
      <c r="W665" s="143"/>
      <c r="X665" s="62"/>
      <c r="Y665" s="62"/>
      <c r="Z665" s="143"/>
      <c r="AA665" s="143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78"/>
      <c r="BD665" s="78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</row>
    <row r="666" ht="15.75" customHeight="1">
      <c r="A666" s="62"/>
      <c r="B666" s="79"/>
      <c r="C666" s="62"/>
      <c r="D666" s="62"/>
      <c r="E666" s="74"/>
      <c r="F666" s="62"/>
      <c r="G666" s="62"/>
      <c r="H666" s="62"/>
      <c r="I666" s="79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143"/>
      <c r="V666" s="143"/>
      <c r="W666" s="143"/>
      <c r="X666" s="62"/>
      <c r="Y666" s="62"/>
      <c r="Z666" s="143"/>
      <c r="AA666" s="143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78"/>
      <c r="BD666" s="78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62"/>
      <c r="BS666" s="62"/>
      <c r="BT666" s="62"/>
      <c r="BU666" s="62"/>
      <c r="BV666" s="62"/>
      <c r="BW666" s="62"/>
      <c r="BX666" s="62"/>
      <c r="BY666" s="62"/>
      <c r="BZ666" s="62"/>
      <c r="CA666" s="62"/>
      <c r="CB666" s="62"/>
    </row>
    <row r="667" ht="15.75" customHeight="1">
      <c r="A667" s="62"/>
      <c r="B667" s="79"/>
      <c r="C667" s="62"/>
      <c r="D667" s="62"/>
      <c r="E667" s="74"/>
      <c r="F667" s="62"/>
      <c r="G667" s="62"/>
      <c r="H667" s="62"/>
      <c r="I667" s="79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143"/>
      <c r="V667" s="143"/>
      <c r="W667" s="143"/>
      <c r="X667" s="62"/>
      <c r="Y667" s="62"/>
      <c r="Z667" s="143"/>
      <c r="AA667" s="143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78"/>
      <c r="BD667" s="78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  <c r="BS667" s="62"/>
      <c r="BT667" s="62"/>
      <c r="BU667" s="62"/>
      <c r="BV667" s="62"/>
      <c r="BW667" s="62"/>
      <c r="BX667" s="62"/>
      <c r="BY667" s="62"/>
      <c r="BZ667" s="62"/>
      <c r="CA667" s="62"/>
      <c r="CB667" s="62"/>
    </row>
    <row r="668" ht="15.75" customHeight="1">
      <c r="A668" s="62"/>
      <c r="B668" s="79"/>
      <c r="C668" s="62"/>
      <c r="D668" s="62"/>
      <c r="E668" s="74"/>
      <c r="F668" s="62"/>
      <c r="G668" s="62"/>
      <c r="H668" s="62"/>
      <c r="I668" s="79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143"/>
      <c r="V668" s="143"/>
      <c r="W668" s="143"/>
      <c r="X668" s="62"/>
      <c r="Y668" s="62"/>
      <c r="Z668" s="143"/>
      <c r="AA668" s="143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78"/>
      <c r="BD668" s="78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  <c r="BS668" s="62"/>
      <c r="BT668" s="62"/>
      <c r="BU668" s="62"/>
      <c r="BV668" s="62"/>
      <c r="BW668" s="62"/>
      <c r="BX668" s="62"/>
      <c r="BY668" s="62"/>
      <c r="BZ668" s="62"/>
      <c r="CA668" s="62"/>
      <c r="CB668" s="62"/>
    </row>
    <row r="669" ht="15.75" customHeight="1">
      <c r="A669" s="62"/>
      <c r="B669" s="79"/>
      <c r="C669" s="62"/>
      <c r="D669" s="62"/>
      <c r="E669" s="74"/>
      <c r="F669" s="62"/>
      <c r="G669" s="62"/>
      <c r="H669" s="62"/>
      <c r="I669" s="79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143"/>
      <c r="V669" s="143"/>
      <c r="W669" s="143"/>
      <c r="X669" s="62"/>
      <c r="Y669" s="62"/>
      <c r="Z669" s="143"/>
      <c r="AA669" s="143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78"/>
      <c r="BD669" s="78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  <c r="BT669" s="62"/>
      <c r="BU669" s="62"/>
      <c r="BV669" s="62"/>
      <c r="BW669" s="62"/>
      <c r="BX669" s="62"/>
      <c r="BY669" s="62"/>
      <c r="BZ669" s="62"/>
      <c r="CA669" s="62"/>
      <c r="CB669" s="62"/>
    </row>
    <row r="670" ht="15.75" customHeight="1">
      <c r="A670" s="62"/>
      <c r="B670" s="79"/>
      <c r="C670" s="62"/>
      <c r="D670" s="62"/>
      <c r="E670" s="74"/>
      <c r="F670" s="62"/>
      <c r="G670" s="62"/>
      <c r="H670" s="62"/>
      <c r="I670" s="79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143"/>
      <c r="V670" s="143"/>
      <c r="W670" s="143"/>
      <c r="X670" s="62"/>
      <c r="Y670" s="62"/>
      <c r="Z670" s="143"/>
      <c r="AA670" s="143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78"/>
      <c r="BD670" s="78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62"/>
      <c r="BS670" s="62"/>
      <c r="BT670" s="62"/>
      <c r="BU670" s="62"/>
      <c r="BV670" s="62"/>
      <c r="BW670" s="62"/>
      <c r="BX670" s="62"/>
      <c r="BY670" s="62"/>
      <c r="BZ670" s="62"/>
      <c r="CA670" s="62"/>
      <c r="CB670" s="62"/>
    </row>
    <row r="671" ht="15.75" customHeight="1">
      <c r="A671" s="62"/>
      <c r="B671" s="79"/>
      <c r="C671" s="62"/>
      <c r="D671" s="62"/>
      <c r="E671" s="74"/>
      <c r="F671" s="62"/>
      <c r="G671" s="62"/>
      <c r="H671" s="62"/>
      <c r="I671" s="79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143"/>
      <c r="V671" s="143"/>
      <c r="W671" s="143"/>
      <c r="X671" s="62"/>
      <c r="Y671" s="62"/>
      <c r="Z671" s="143"/>
      <c r="AA671" s="143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78"/>
      <c r="BD671" s="78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62"/>
      <c r="BS671" s="62"/>
      <c r="BT671" s="62"/>
      <c r="BU671" s="62"/>
      <c r="BV671" s="62"/>
      <c r="BW671" s="62"/>
      <c r="BX671" s="62"/>
      <c r="BY671" s="62"/>
      <c r="BZ671" s="62"/>
      <c r="CA671" s="62"/>
      <c r="CB671" s="62"/>
    </row>
    <row r="672" ht="15.75" customHeight="1">
      <c r="A672" s="62"/>
      <c r="B672" s="79"/>
      <c r="C672" s="62"/>
      <c r="D672" s="62"/>
      <c r="E672" s="74"/>
      <c r="F672" s="62"/>
      <c r="G672" s="62"/>
      <c r="H672" s="62"/>
      <c r="I672" s="79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143"/>
      <c r="V672" s="143"/>
      <c r="W672" s="143"/>
      <c r="X672" s="62"/>
      <c r="Y672" s="62"/>
      <c r="Z672" s="143"/>
      <c r="AA672" s="143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78"/>
      <c r="BD672" s="78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  <c r="BS672" s="62"/>
      <c r="BT672" s="62"/>
      <c r="BU672" s="62"/>
      <c r="BV672" s="62"/>
      <c r="BW672" s="62"/>
      <c r="BX672" s="62"/>
      <c r="BY672" s="62"/>
      <c r="BZ672" s="62"/>
      <c r="CA672" s="62"/>
      <c r="CB672" s="62"/>
    </row>
    <row r="673" ht="15.75" customHeight="1">
      <c r="A673" s="62"/>
      <c r="B673" s="79"/>
      <c r="C673" s="62"/>
      <c r="D673" s="62"/>
      <c r="E673" s="74"/>
      <c r="F673" s="62"/>
      <c r="G673" s="62"/>
      <c r="H673" s="62"/>
      <c r="I673" s="79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143"/>
      <c r="V673" s="143"/>
      <c r="W673" s="143"/>
      <c r="X673" s="62"/>
      <c r="Y673" s="62"/>
      <c r="Z673" s="143"/>
      <c r="AA673" s="143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78"/>
      <c r="BD673" s="78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  <c r="BS673" s="62"/>
      <c r="BT673" s="62"/>
      <c r="BU673" s="62"/>
      <c r="BV673" s="62"/>
      <c r="BW673" s="62"/>
      <c r="BX673" s="62"/>
      <c r="BY673" s="62"/>
      <c r="BZ673" s="62"/>
      <c r="CA673" s="62"/>
      <c r="CB673" s="62"/>
    </row>
    <row r="674" ht="15.75" customHeight="1">
      <c r="A674" s="62"/>
      <c r="B674" s="79"/>
      <c r="C674" s="62"/>
      <c r="D674" s="62"/>
      <c r="E674" s="74"/>
      <c r="F674" s="62"/>
      <c r="G674" s="62"/>
      <c r="H674" s="62"/>
      <c r="I674" s="79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143"/>
      <c r="V674" s="143"/>
      <c r="W674" s="143"/>
      <c r="X674" s="62"/>
      <c r="Y674" s="62"/>
      <c r="Z674" s="143"/>
      <c r="AA674" s="143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78"/>
      <c r="BD674" s="78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62"/>
      <c r="BS674" s="62"/>
      <c r="BT674" s="62"/>
      <c r="BU674" s="62"/>
      <c r="BV674" s="62"/>
      <c r="BW674" s="62"/>
      <c r="BX674" s="62"/>
      <c r="BY674" s="62"/>
      <c r="BZ674" s="62"/>
      <c r="CA674" s="62"/>
      <c r="CB674" s="62"/>
    </row>
    <row r="675" ht="15.75" customHeight="1">
      <c r="A675" s="62"/>
      <c r="B675" s="79"/>
      <c r="C675" s="62"/>
      <c r="D675" s="62"/>
      <c r="E675" s="74"/>
      <c r="F675" s="62"/>
      <c r="G675" s="62"/>
      <c r="H675" s="62"/>
      <c r="I675" s="79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143"/>
      <c r="V675" s="143"/>
      <c r="W675" s="143"/>
      <c r="X675" s="62"/>
      <c r="Y675" s="62"/>
      <c r="Z675" s="143"/>
      <c r="AA675" s="143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78"/>
      <c r="BD675" s="78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62"/>
      <c r="BS675" s="62"/>
      <c r="BT675" s="62"/>
      <c r="BU675" s="62"/>
      <c r="BV675" s="62"/>
      <c r="BW675" s="62"/>
      <c r="BX675" s="62"/>
      <c r="BY675" s="62"/>
      <c r="BZ675" s="62"/>
      <c r="CA675" s="62"/>
      <c r="CB675" s="62"/>
    </row>
    <row r="676" ht="15.75" customHeight="1">
      <c r="A676" s="62"/>
      <c r="B676" s="79"/>
      <c r="C676" s="62"/>
      <c r="D676" s="62"/>
      <c r="E676" s="74"/>
      <c r="F676" s="62"/>
      <c r="G676" s="62"/>
      <c r="H676" s="62"/>
      <c r="I676" s="79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143"/>
      <c r="V676" s="143"/>
      <c r="W676" s="143"/>
      <c r="X676" s="62"/>
      <c r="Y676" s="62"/>
      <c r="Z676" s="143"/>
      <c r="AA676" s="143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78"/>
      <c r="BD676" s="78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62"/>
      <c r="BS676" s="62"/>
      <c r="BT676" s="62"/>
      <c r="BU676" s="62"/>
      <c r="BV676" s="62"/>
      <c r="BW676" s="62"/>
      <c r="BX676" s="62"/>
      <c r="BY676" s="62"/>
      <c r="BZ676" s="62"/>
      <c r="CA676" s="62"/>
      <c r="CB676" s="62"/>
    </row>
    <row r="677" ht="15.75" customHeight="1">
      <c r="A677" s="62"/>
      <c r="B677" s="79"/>
      <c r="C677" s="62"/>
      <c r="D677" s="62"/>
      <c r="E677" s="74"/>
      <c r="F677" s="62"/>
      <c r="G677" s="62"/>
      <c r="H677" s="62"/>
      <c r="I677" s="79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143"/>
      <c r="V677" s="143"/>
      <c r="W677" s="143"/>
      <c r="X677" s="62"/>
      <c r="Y677" s="62"/>
      <c r="Z677" s="143"/>
      <c r="AA677" s="143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78"/>
      <c r="BD677" s="78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  <c r="BS677" s="62"/>
      <c r="BT677" s="62"/>
      <c r="BU677" s="62"/>
      <c r="BV677" s="62"/>
      <c r="BW677" s="62"/>
      <c r="BX677" s="62"/>
      <c r="BY677" s="62"/>
      <c r="BZ677" s="62"/>
      <c r="CA677" s="62"/>
      <c r="CB677" s="62"/>
    </row>
    <row r="678" ht="15.75" customHeight="1">
      <c r="A678" s="62"/>
      <c r="B678" s="79"/>
      <c r="C678" s="62"/>
      <c r="D678" s="62"/>
      <c r="E678" s="74"/>
      <c r="F678" s="62"/>
      <c r="G678" s="62"/>
      <c r="H678" s="62"/>
      <c r="I678" s="79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143"/>
      <c r="V678" s="143"/>
      <c r="W678" s="143"/>
      <c r="X678" s="62"/>
      <c r="Y678" s="62"/>
      <c r="Z678" s="143"/>
      <c r="AA678" s="143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78"/>
      <c r="BD678" s="78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  <c r="BS678" s="62"/>
      <c r="BT678" s="62"/>
      <c r="BU678" s="62"/>
      <c r="BV678" s="62"/>
      <c r="BW678" s="62"/>
      <c r="BX678" s="62"/>
      <c r="BY678" s="62"/>
      <c r="BZ678" s="62"/>
      <c r="CA678" s="62"/>
      <c r="CB678" s="62"/>
    </row>
    <row r="679" ht="15.75" customHeight="1">
      <c r="A679" s="62"/>
      <c r="B679" s="79"/>
      <c r="C679" s="62"/>
      <c r="D679" s="62"/>
      <c r="E679" s="74"/>
      <c r="F679" s="62"/>
      <c r="G679" s="62"/>
      <c r="H679" s="62"/>
      <c r="I679" s="79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143"/>
      <c r="V679" s="143"/>
      <c r="W679" s="143"/>
      <c r="X679" s="62"/>
      <c r="Y679" s="62"/>
      <c r="Z679" s="143"/>
      <c r="AA679" s="143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78"/>
      <c r="BD679" s="78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62"/>
      <c r="BS679" s="62"/>
      <c r="BT679" s="62"/>
      <c r="BU679" s="62"/>
      <c r="BV679" s="62"/>
      <c r="BW679" s="62"/>
      <c r="BX679" s="62"/>
      <c r="BY679" s="62"/>
      <c r="BZ679" s="62"/>
      <c r="CA679" s="62"/>
      <c r="CB679" s="62"/>
    </row>
    <row r="680" ht="15.75" customHeight="1">
      <c r="A680" s="62"/>
      <c r="B680" s="79"/>
      <c r="C680" s="62"/>
      <c r="D680" s="62"/>
      <c r="E680" s="74"/>
      <c r="F680" s="62"/>
      <c r="G680" s="62"/>
      <c r="H680" s="62"/>
      <c r="I680" s="79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143"/>
      <c r="V680" s="143"/>
      <c r="W680" s="143"/>
      <c r="X680" s="62"/>
      <c r="Y680" s="62"/>
      <c r="Z680" s="143"/>
      <c r="AA680" s="143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78"/>
      <c r="BD680" s="78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62"/>
      <c r="BS680" s="62"/>
      <c r="BT680" s="62"/>
      <c r="BU680" s="62"/>
      <c r="BV680" s="62"/>
      <c r="BW680" s="62"/>
      <c r="BX680" s="62"/>
      <c r="BY680" s="62"/>
      <c r="BZ680" s="62"/>
      <c r="CA680" s="62"/>
      <c r="CB680" s="62"/>
    </row>
    <row r="681" ht="15.75" customHeight="1">
      <c r="A681" s="62"/>
      <c r="B681" s="79"/>
      <c r="C681" s="62"/>
      <c r="D681" s="62"/>
      <c r="E681" s="74"/>
      <c r="F681" s="62"/>
      <c r="G681" s="62"/>
      <c r="H681" s="62"/>
      <c r="I681" s="79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143"/>
      <c r="V681" s="143"/>
      <c r="W681" s="143"/>
      <c r="X681" s="62"/>
      <c r="Y681" s="62"/>
      <c r="Z681" s="143"/>
      <c r="AA681" s="143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78"/>
      <c r="BD681" s="78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62"/>
      <c r="BS681" s="62"/>
      <c r="BT681" s="62"/>
      <c r="BU681" s="62"/>
      <c r="BV681" s="62"/>
      <c r="BW681" s="62"/>
      <c r="BX681" s="62"/>
      <c r="BY681" s="62"/>
      <c r="BZ681" s="62"/>
      <c r="CA681" s="62"/>
      <c r="CB681" s="62"/>
    </row>
    <row r="682" ht="15.75" customHeight="1">
      <c r="A682" s="62"/>
      <c r="B682" s="79"/>
      <c r="C682" s="62"/>
      <c r="D682" s="62"/>
      <c r="E682" s="74"/>
      <c r="F682" s="62"/>
      <c r="G682" s="62"/>
      <c r="H682" s="62"/>
      <c r="I682" s="79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143"/>
      <c r="V682" s="143"/>
      <c r="W682" s="143"/>
      <c r="X682" s="62"/>
      <c r="Y682" s="62"/>
      <c r="Z682" s="143"/>
      <c r="AA682" s="143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78"/>
      <c r="BD682" s="78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  <c r="BS682" s="62"/>
      <c r="BT682" s="62"/>
      <c r="BU682" s="62"/>
      <c r="BV682" s="62"/>
      <c r="BW682" s="62"/>
      <c r="BX682" s="62"/>
      <c r="BY682" s="62"/>
      <c r="BZ682" s="62"/>
      <c r="CA682" s="62"/>
      <c r="CB682" s="62"/>
    </row>
    <row r="683" ht="15.75" customHeight="1">
      <c r="A683" s="62"/>
      <c r="B683" s="79"/>
      <c r="C683" s="62"/>
      <c r="D683" s="62"/>
      <c r="E683" s="74"/>
      <c r="F683" s="62"/>
      <c r="G683" s="62"/>
      <c r="H683" s="62"/>
      <c r="I683" s="79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143"/>
      <c r="V683" s="143"/>
      <c r="W683" s="143"/>
      <c r="X683" s="62"/>
      <c r="Y683" s="62"/>
      <c r="Z683" s="143"/>
      <c r="AA683" s="143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78"/>
      <c r="BD683" s="78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  <c r="BS683" s="62"/>
      <c r="BT683" s="62"/>
      <c r="BU683" s="62"/>
      <c r="BV683" s="62"/>
      <c r="BW683" s="62"/>
      <c r="BX683" s="62"/>
      <c r="BY683" s="62"/>
      <c r="BZ683" s="62"/>
      <c r="CA683" s="62"/>
      <c r="CB683" s="62"/>
    </row>
    <row r="684" ht="15.75" customHeight="1">
      <c r="A684" s="62"/>
      <c r="B684" s="79"/>
      <c r="C684" s="62"/>
      <c r="D684" s="62"/>
      <c r="E684" s="74"/>
      <c r="F684" s="62"/>
      <c r="G684" s="62"/>
      <c r="H684" s="62"/>
      <c r="I684" s="79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143"/>
      <c r="V684" s="143"/>
      <c r="W684" s="143"/>
      <c r="X684" s="62"/>
      <c r="Y684" s="62"/>
      <c r="Z684" s="143"/>
      <c r="AA684" s="143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78"/>
      <c r="BD684" s="78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62"/>
      <c r="BS684" s="62"/>
      <c r="BT684" s="62"/>
      <c r="BU684" s="62"/>
      <c r="BV684" s="62"/>
      <c r="BW684" s="62"/>
      <c r="BX684" s="62"/>
      <c r="BY684" s="62"/>
      <c r="BZ684" s="62"/>
      <c r="CA684" s="62"/>
      <c r="CB684" s="62"/>
    </row>
    <row r="685" ht="15.75" customHeight="1">
      <c r="A685" s="62"/>
      <c r="B685" s="79"/>
      <c r="C685" s="62"/>
      <c r="D685" s="62"/>
      <c r="E685" s="74"/>
      <c r="F685" s="62"/>
      <c r="G685" s="62"/>
      <c r="H685" s="62"/>
      <c r="I685" s="79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143"/>
      <c r="V685" s="143"/>
      <c r="W685" s="143"/>
      <c r="X685" s="62"/>
      <c r="Y685" s="62"/>
      <c r="Z685" s="143"/>
      <c r="AA685" s="143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78"/>
      <c r="BD685" s="78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62"/>
      <c r="BS685" s="62"/>
      <c r="BT685" s="62"/>
      <c r="BU685" s="62"/>
      <c r="BV685" s="62"/>
      <c r="BW685" s="62"/>
      <c r="BX685" s="62"/>
      <c r="BY685" s="62"/>
      <c r="BZ685" s="62"/>
      <c r="CA685" s="62"/>
      <c r="CB685" s="62"/>
    </row>
    <row r="686" ht="15.75" customHeight="1">
      <c r="A686" s="62"/>
      <c r="B686" s="79"/>
      <c r="C686" s="62"/>
      <c r="D686" s="62"/>
      <c r="E686" s="74"/>
      <c r="F686" s="62"/>
      <c r="G686" s="62"/>
      <c r="H686" s="62"/>
      <c r="I686" s="79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143"/>
      <c r="V686" s="143"/>
      <c r="W686" s="143"/>
      <c r="X686" s="62"/>
      <c r="Y686" s="62"/>
      <c r="Z686" s="143"/>
      <c r="AA686" s="143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78"/>
      <c r="BD686" s="78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62"/>
      <c r="BS686" s="62"/>
      <c r="BT686" s="62"/>
      <c r="BU686" s="62"/>
      <c r="BV686" s="62"/>
      <c r="BW686" s="62"/>
      <c r="BX686" s="62"/>
      <c r="BY686" s="62"/>
      <c r="BZ686" s="62"/>
      <c r="CA686" s="62"/>
      <c r="CB686" s="62"/>
    </row>
    <row r="687" ht="15.75" customHeight="1">
      <c r="A687" s="62"/>
      <c r="B687" s="79"/>
      <c r="C687" s="62"/>
      <c r="D687" s="62"/>
      <c r="E687" s="74"/>
      <c r="F687" s="62"/>
      <c r="G687" s="62"/>
      <c r="H687" s="62"/>
      <c r="I687" s="79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143"/>
      <c r="V687" s="143"/>
      <c r="W687" s="143"/>
      <c r="X687" s="62"/>
      <c r="Y687" s="62"/>
      <c r="Z687" s="143"/>
      <c r="AA687" s="143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78"/>
      <c r="BD687" s="78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  <c r="BS687" s="62"/>
      <c r="BT687" s="62"/>
      <c r="BU687" s="62"/>
      <c r="BV687" s="62"/>
      <c r="BW687" s="62"/>
      <c r="BX687" s="62"/>
      <c r="BY687" s="62"/>
      <c r="BZ687" s="62"/>
      <c r="CA687" s="62"/>
      <c r="CB687" s="62"/>
    </row>
    <row r="688" ht="15.75" customHeight="1">
      <c r="A688" s="62"/>
      <c r="B688" s="79"/>
      <c r="C688" s="62"/>
      <c r="D688" s="62"/>
      <c r="E688" s="74"/>
      <c r="F688" s="62"/>
      <c r="G688" s="62"/>
      <c r="H688" s="62"/>
      <c r="I688" s="79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143"/>
      <c r="V688" s="143"/>
      <c r="W688" s="143"/>
      <c r="X688" s="62"/>
      <c r="Y688" s="62"/>
      <c r="Z688" s="143"/>
      <c r="AA688" s="143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78"/>
      <c r="BD688" s="78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  <c r="BS688" s="62"/>
      <c r="BT688" s="62"/>
      <c r="BU688" s="62"/>
      <c r="BV688" s="62"/>
      <c r="BW688" s="62"/>
      <c r="BX688" s="62"/>
      <c r="BY688" s="62"/>
      <c r="BZ688" s="62"/>
      <c r="CA688" s="62"/>
      <c r="CB688" s="62"/>
    </row>
    <row r="689" ht="15.75" customHeight="1">
      <c r="A689" s="62"/>
      <c r="B689" s="79"/>
      <c r="C689" s="62"/>
      <c r="D689" s="62"/>
      <c r="E689" s="74"/>
      <c r="F689" s="62"/>
      <c r="G689" s="62"/>
      <c r="H689" s="62"/>
      <c r="I689" s="79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143"/>
      <c r="V689" s="143"/>
      <c r="W689" s="143"/>
      <c r="X689" s="62"/>
      <c r="Y689" s="62"/>
      <c r="Z689" s="143"/>
      <c r="AA689" s="143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78"/>
      <c r="BD689" s="78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62"/>
      <c r="BS689" s="62"/>
      <c r="BT689" s="62"/>
      <c r="BU689" s="62"/>
      <c r="BV689" s="62"/>
      <c r="BW689" s="62"/>
      <c r="BX689" s="62"/>
      <c r="BY689" s="62"/>
      <c r="BZ689" s="62"/>
      <c r="CA689" s="62"/>
      <c r="CB689" s="62"/>
    </row>
    <row r="690" ht="15.75" customHeight="1">
      <c r="A690" s="62"/>
      <c r="B690" s="79"/>
      <c r="C690" s="62"/>
      <c r="D690" s="62"/>
      <c r="E690" s="74"/>
      <c r="F690" s="62"/>
      <c r="G690" s="62"/>
      <c r="H690" s="62"/>
      <c r="I690" s="79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143"/>
      <c r="V690" s="143"/>
      <c r="W690" s="143"/>
      <c r="X690" s="62"/>
      <c r="Y690" s="62"/>
      <c r="Z690" s="143"/>
      <c r="AA690" s="143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78"/>
      <c r="BD690" s="78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62"/>
      <c r="BS690" s="62"/>
      <c r="BT690" s="62"/>
      <c r="BU690" s="62"/>
      <c r="BV690" s="62"/>
      <c r="BW690" s="62"/>
      <c r="BX690" s="62"/>
      <c r="BY690" s="62"/>
      <c r="BZ690" s="62"/>
      <c r="CA690" s="62"/>
      <c r="CB690" s="62"/>
    </row>
    <row r="691" ht="15.75" customHeight="1">
      <c r="A691" s="62"/>
      <c r="B691" s="79"/>
      <c r="C691" s="62"/>
      <c r="D691" s="62"/>
      <c r="E691" s="74"/>
      <c r="F691" s="62"/>
      <c r="G691" s="62"/>
      <c r="H691" s="62"/>
      <c r="I691" s="79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143"/>
      <c r="V691" s="143"/>
      <c r="W691" s="143"/>
      <c r="X691" s="62"/>
      <c r="Y691" s="62"/>
      <c r="Z691" s="143"/>
      <c r="AA691" s="143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78"/>
      <c r="BD691" s="78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62"/>
      <c r="BS691" s="62"/>
      <c r="BT691" s="62"/>
      <c r="BU691" s="62"/>
      <c r="BV691" s="62"/>
      <c r="BW691" s="62"/>
      <c r="BX691" s="62"/>
      <c r="BY691" s="62"/>
      <c r="BZ691" s="62"/>
      <c r="CA691" s="62"/>
      <c r="CB691" s="62"/>
    </row>
    <row r="692" ht="15.75" customHeight="1">
      <c r="A692" s="62"/>
      <c r="B692" s="79"/>
      <c r="C692" s="62"/>
      <c r="D692" s="62"/>
      <c r="E692" s="74"/>
      <c r="F692" s="62"/>
      <c r="G692" s="62"/>
      <c r="H692" s="62"/>
      <c r="I692" s="79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143"/>
      <c r="V692" s="143"/>
      <c r="W692" s="143"/>
      <c r="X692" s="62"/>
      <c r="Y692" s="62"/>
      <c r="Z692" s="143"/>
      <c r="AA692" s="143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78"/>
      <c r="BD692" s="78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  <c r="BS692" s="62"/>
      <c r="BT692" s="62"/>
      <c r="BU692" s="62"/>
      <c r="BV692" s="62"/>
      <c r="BW692" s="62"/>
      <c r="BX692" s="62"/>
      <c r="BY692" s="62"/>
      <c r="BZ692" s="62"/>
      <c r="CA692" s="62"/>
      <c r="CB692" s="62"/>
    </row>
    <row r="693" ht="15.75" customHeight="1">
      <c r="A693" s="62"/>
      <c r="B693" s="79"/>
      <c r="C693" s="62"/>
      <c r="D693" s="62"/>
      <c r="E693" s="74"/>
      <c r="F693" s="62"/>
      <c r="G693" s="62"/>
      <c r="H693" s="62"/>
      <c r="I693" s="79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143"/>
      <c r="V693" s="143"/>
      <c r="W693" s="143"/>
      <c r="X693" s="62"/>
      <c r="Y693" s="62"/>
      <c r="Z693" s="143"/>
      <c r="AA693" s="143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78"/>
      <c r="BD693" s="78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  <c r="BS693" s="62"/>
      <c r="BT693" s="62"/>
      <c r="BU693" s="62"/>
      <c r="BV693" s="62"/>
      <c r="BW693" s="62"/>
      <c r="BX693" s="62"/>
      <c r="BY693" s="62"/>
      <c r="BZ693" s="62"/>
      <c r="CA693" s="62"/>
      <c r="CB693" s="62"/>
    </row>
    <row r="694" ht="15.75" customHeight="1">
      <c r="A694" s="62"/>
      <c r="B694" s="79"/>
      <c r="C694" s="62"/>
      <c r="D694" s="62"/>
      <c r="E694" s="74"/>
      <c r="F694" s="62"/>
      <c r="G694" s="62"/>
      <c r="H694" s="62"/>
      <c r="I694" s="79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143"/>
      <c r="V694" s="143"/>
      <c r="W694" s="143"/>
      <c r="X694" s="62"/>
      <c r="Y694" s="62"/>
      <c r="Z694" s="143"/>
      <c r="AA694" s="143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78"/>
      <c r="BD694" s="78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</row>
    <row r="695" ht="15.75" customHeight="1">
      <c r="A695" s="62"/>
      <c r="B695" s="79"/>
      <c r="C695" s="62"/>
      <c r="D695" s="62"/>
      <c r="E695" s="74"/>
      <c r="F695" s="62"/>
      <c r="G695" s="62"/>
      <c r="H695" s="62"/>
      <c r="I695" s="79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143"/>
      <c r="V695" s="143"/>
      <c r="W695" s="143"/>
      <c r="X695" s="62"/>
      <c r="Y695" s="62"/>
      <c r="Z695" s="143"/>
      <c r="AA695" s="143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78"/>
      <c r="BD695" s="78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</row>
    <row r="696" ht="15.75" customHeight="1">
      <c r="A696" s="62"/>
      <c r="B696" s="79"/>
      <c r="C696" s="62"/>
      <c r="D696" s="62"/>
      <c r="E696" s="74"/>
      <c r="F696" s="62"/>
      <c r="G696" s="62"/>
      <c r="H696" s="62"/>
      <c r="I696" s="79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143"/>
      <c r="V696" s="143"/>
      <c r="W696" s="143"/>
      <c r="X696" s="62"/>
      <c r="Y696" s="62"/>
      <c r="Z696" s="143"/>
      <c r="AA696" s="143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78"/>
      <c r="BD696" s="78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</row>
    <row r="697" ht="15.75" customHeight="1">
      <c r="A697" s="62"/>
      <c r="B697" s="79"/>
      <c r="C697" s="62"/>
      <c r="D697" s="62"/>
      <c r="E697" s="74"/>
      <c r="F697" s="62"/>
      <c r="G697" s="62"/>
      <c r="H697" s="62"/>
      <c r="I697" s="79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143"/>
      <c r="V697" s="143"/>
      <c r="W697" s="143"/>
      <c r="X697" s="62"/>
      <c r="Y697" s="62"/>
      <c r="Z697" s="143"/>
      <c r="AA697" s="143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78"/>
      <c r="BD697" s="78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</row>
    <row r="698" ht="15.75" customHeight="1">
      <c r="A698" s="62"/>
      <c r="B698" s="79"/>
      <c r="C698" s="62"/>
      <c r="D698" s="62"/>
      <c r="E698" s="74"/>
      <c r="F698" s="62"/>
      <c r="G698" s="62"/>
      <c r="H698" s="62"/>
      <c r="I698" s="79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143"/>
      <c r="V698" s="143"/>
      <c r="W698" s="143"/>
      <c r="X698" s="62"/>
      <c r="Y698" s="62"/>
      <c r="Z698" s="143"/>
      <c r="AA698" s="143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78"/>
      <c r="BD698" s="78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</row>
    <row r="699" ht="15.75" customHeight="1">
      <c r="A699" s="62"/>
      <c r="B699" s="79"/>
      <c r="C699" s="62"/>
      <c r="D699" s="62"/>
      <c r="E699" s="74"/>
      <c r="F699" s="62"/>
      <c r="G699" s="62"/>
      <c r="H699" s="62"/>
      <c r="I699" s="79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143"/>
      <c r="V699" s="143"/>
      <c r="W699" s="143"/>
      <c r="X699" s="62"/>
      <c r="Y699" s="62"/>
      <c r="Z699" s="143"/>
      <c r="AA699" s="143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78"/>
      <c r="BD699" s="78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</row>
    <row r="700" ht="15.75" customHeight="1">
      <c r="A700" s="62"/>
      <c r="B700" s="79"/>
      <c r="C700" s="62"/>
      <c r="D700" s="62"/>
      <c r="E700" s="74"/>
      <c r="F700" s="62"/>
      <c r="G700" s="62"/>
      <c r="H700" s="62"/>
      <c r="I700" s="79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143"/>
      <c r="V700" s="143"/>
      <c r="W700" s="143"/>
      <c r="X700" s="62"/>
      <c r="Y700" s="62"/>
      <c r="Z700" s="143"/>
      <c r="AA700" s="143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78"/>
      <c r="BD700" s="78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</row>
    <row r="701" ht="15.75" customHeight="1">
      <c r="A701" s="62"/>
      <c r="B701" s="79"/>
      <c r="C701" s="62"/>
      <c r="D701" s="62"/>
      <c r="E701" s="74"/>
      <c r="F701" s="62"/>
      <c r="G701" s="62"/>
      <c r="H701" s="62"/>
      <c r="I701" s="79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143"/>
      <c r="V701" s="143"/>
      <c r="W701" s="143"/>
      <c r="X701" s="62"/>
      <c r="Y701" s="62"/>
      <c r="Z701" s="143"/>
      <c r="AA701" s="143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78"/>
      <c r="BD701" s="78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</row>
    <row r="702" ht="15.75" customHeight="1">
      <c r="A702" s="62"/>
      <c r="B702" s="79"/>
      <c r="C702" s="62"/>
      <c r="D702" s="62"/>
      <c r="E702" s="74"/>
      <c r="F702" s="62"/>
      <c r="G702" s="62"/>
      <c r="H702" s="62"/>
      <c r="I702" s="79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143"/>
      <c r="V702" s="143"/>
      <c r="W702" s="143"/>
      <c r="X702" s="62"/>
      <c r="Y702" s="62"/>
      <c r="Z702" s="143"/>
      <c r="AA702" s="143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78"/>
      <c r="BD702" s="78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</row>
    <row r="703" ht="15.75" customHeight="1">
      <c r="A703" s="62"/>
      <c r="B703" s="79"/>
      <c r="C703" s="62"/>
      <c r="D703" s="62"/>
      <c r="E703" s="74"/>
      <c r="F703" s="62"/>
      <c r="G703" s="62"/>
      <c r="H703" s="62"/>
      <c r="I703" s="79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143"/>
      <c r="V703" s="143"/>
      <c r="W703" s="143"/>
      <c r="X703" s="62"/>
      <c r="Y703" s="62"/>
      <c r="Z703" s="143"/>
      <c r="AA703" s="143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78"/>
      <c r="BD703" s="78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</row>
    <row r="704" ht="15.75" customHeight="1">
      <c r="A704" s="62"/>
      <c r="B704" s="79"/>
      <c r="C704" s="62"/>
      <c r="D704" s="62"/>
      <c r="E704" s="74"/>
      <c r="F704" s="62"/>
      <c r="G704" s="62"/>
      <c r="H704" s="62"/>
      <c r="I704" s="79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143"/>
      <c r="V704" s="143"/>
      <c r="W704" s="143"/>
      <c r="X704" s="62"/>
      <c r="Y704" s="62"/>
      <c r="Z704" s="143"/>
      <c r="AA704" s="143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78"/>
      <c r="BD704" s="78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62"/>
      <c r="BS704" s="62"/>
      <c r="BT704" s="62"/>
      <c r="BU704" s="62"/>
      <c r="BV704" s="62"/>
      <c r="BW704" s="62"/>
      <c r="BX704" s="62"/>
      <c r="BY704" s="62"/>
      <c r="BZ704" s="62"/>
      <c r="CA704" s="62"/>
      <c r="CB704" s="62"/>
    </row>
    <row r="705" ht="15.75" customHeight="1">
      <c r="A705" s="62"/>
      <c r="B705" s="79"/>
      <c r="C705" s="62"/>
      <c r="D705" s="62"/>
      <c r="E705" s="74"/>
      <c r="F705" s="62"/>
      <c r="G705" s="62"/>
      <c r="H705" s="62"/>
      <c r="I705" s="79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143"/>
      <c r="V705" s="143"/>
      <c r="W705" s="143"/>
      <c r="X705" s="62"/>
      <c r="Y705" s="62"/>
      <c r="Z705" s="143"/>
      <c r="AA705" s="143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78"/>
      <c r="BD705" s="78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62"/>
      <c r="BS705" s="62"/>
      <c r="BT705" s="62"/>
      <c r="BU705" s="62"/>
      <c r="BV705" s="62"/>
      <c r="BW705" s="62"/>
      <c r="BX705" s="62"/>
      <c r="BY705" s="62"/>
      <c r="BZ705" s="62"/>
      <c r="CA705" s="62"/>
      <c r="CB705" s="62"/>
    </row>
    <row r="706" ht="15.75" customHeight="1">
      <c r="A706" s="62"/>
      <c r="B706" s="79"/>
      <c r="C706" s="62"/>
      <c r="D706" s="62"/>
      <c r="E706" s="74"/>
      <c r="F706" s="62"/>
      <c r="G706" s="62"/>
      <c r="H706" s="62"/>
      <c r="I706" s="79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143"/>
      <c r="V706" s="143"/>
      <c r="W706" s="143"/>
      <c r="X706" s="62"/>
      <c r="Y706" s="62"/>
      <c r="Z706" s="143"/>
      <c r="AA706" s="143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78"/>
      <c r="BD706" s="78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62"/>
      <c r="BS706" s="62"/>
      <c r="BT706" s="62"/>
      <c r="BU706" s="62"/>
      <c r="BV706" s="62"/>
      <c r="BW706" s="62"/>
      <c r="BX706" s="62"/>
      <c r="BY706" s="62"/>
      <c r="BZ706" s="62"/>
      <c r="CA706" s="62"/>
      <c r="CB706" s="62"/>
    </row>
    <row r="707" ht="15.75" customHeight="1">
      <c r="A707" s="62"/>
      <c r="B707" s="79"/>
      <c r="C707" s="62"/>
      <c r="D707" s="62"/>
      <c r="E707" s="74"/>
      <c r="F707" s="62"/>
      <c r="G707" s="62"/>
      <c r="H707" s="62"/>
      <c r="I707" s="79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143"/>
      <c r="V707" s="143"/>
      <c r="W707" s="143"/>
      <c r="X707" s="62"/>
      <c r="Y707" s="62"/>
      <c r="Z707" s="143"/>
      <c r="AA707" s="143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78"/>
      <c r="BD707" s="78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  <c r="BT707" s="62"/>
      <c r="BU707" s="62"/>
      <c r="BV707" s="62"/>
      <c r="BW707" s="62"/>
      <c r="BX707" s="62"/>
      <c r="BY707" s="62"/>
      <c r="BZ707" s="62"/>
      <c r="CA707" s="62"/>
      <c r="CB707" s="62"/>
    </row>
    <row r="708" ht="15.75" customHeight="1">
      <c r="A708" s="62"/>
      <c r="B708" s="79"/>
      <c r="C708" s="62"/>
      <c r="D708" s="62"/>
      <c r="E708" s="74"/>
      <c r="F708" s="62"/>
      <c r="G708" s="62"/>
      <c r="H708" s="62"/>
      <c r="I708" s="79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143"/>
      <c r="V708" s="143"/>
      <c r="W708" s="143"/>
      <c r="X708" s="62"/>
      <c r="Y708" s="62"/>
      <c r="Z708" s="143"/>
      <c r="AA708" s="143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78"/>
      <c r="BD708" s="78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  <c r="BS708" s="62"/>
      <c r="BT708" s="62"/>
      <c r="BU708" s="62"/>
      <c r="BV708" s="62"/>
      <c r="BW708" s="62"/>
      <c r="BX708" s="62"/>
      <c r="BY708" s="62"/>
      <c r="BZ708" s="62"/>
      <c r="CA708" s="62"/>
      <c r="CB708" s="62"/>
    </row>
    <row r="709" ht="15.75" customHeight="1">
      <c r="A709" s="62"/>
      <c r="B709" s="79"/>
      <c r="C709" s="62"/>
      <c r="D709" s="62"/>
      <c r="E709" s="74"/>
      <c r="F709" s="62"/>
      <c r="G709" s="62"/>
      <c r="H709" s="62"/>
      <c r="I709" s="79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143"/>
      <c r="V709" s="143"/>
      <c r="W709" s="143"/>
      <c r="X709" s="62"/>
      <c r="Y709" s="62"/>
      <c r="Z709" s="143"/>
      <c r="AA709" s="143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78"/>
      <c r="BD709" s="78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  <c r="BS709" s="62"/>
      <c r="BT709" s="62"/>
      <c r="BU709" s="62"/>
      <c r="BV709" s="62"/>
      <c r="BW709" s="62"/>
      <c r="BX709" s="62"/>
      <c r="BY709" s="62"/>
      <c r="BZ709" s="62"/>
      <c r="CA709" s="62"/>
      <c r="CB709" s="62"/>
    </row>
    <row r="710" ht="15.75" customHeight="1">
      <c r="A710" s="62"/>
      <c r="B710" s="79"/>
      <c r="C710" s="62"/>
      <c r="D710" s="62"/>
      <c r="E710" s="74"/>
      <c r="F710" s="62"/>
      <c r="G710" s="62"/>
      <c r="H710" s="62"/>
      <c r="I710" s="79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143"/>
      <c r="V710" s="143"/>
      <c r="W710" s="143"/>
      <c r="X710" s="62"/>
      <c r="Y710" s="62"/>
      <c r="Z710" s="143"/>
      <c r="AA710" s="143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78"/>
      <c r="BD710" s="78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62"/>
      <c r="BS710" s="62"/>
      <c r="BT710" s="62"/>
      <c r="BU710" s="62"/>
      <c r="BV710" s="62"/>
      <c r="BW710" s="62"/>
      <c r="BX710" s="62"/>
      <c r="BY710" s="62"/>
      <c r="BZ710" s="62"/>
      <c r="CA710" s="62"/>
      <c r="CB710" s="62"/>
    </row>
    <row r="711" ht="15.75" customHeight="1">
      <c r="A711" s="62"/>
      <c r="B711" s="79"/>
      <c r="C711" s="62"/>
      <c r="D711" s="62"/>
      <c r="E711" s="74"/>
      <c r="F711" s="62"/>
      <c r="G711" s="62"/>
      <c r="H711" s="62"/>
      <c r="I711" s="79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143"/>
      <c r="V711" s="143"/>
      <c r="W711" s="143"/>
      <c r="X711" s="62"/>
      <c r="Y711" s="62"/>
      <c r="Z711" s="143"/>
      <c r="AA711" s="143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78"/>
      <c r="BD711" s="78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  <c r="BS711" s="62"/>
      <c r="BT711" s="62"/>
      <c r="BU711" s="62"/>
      <c r="BV711" s="62"/>
      <c r="BW711" s="62"/>
      <c r="BX711" s="62"/>
      <c r="BY711" s="62"/>
      <c r="BZ711" s="62"/>
      <c r="CA711" s="62"/>
      <c r="CB711" s="62"/>
    </row>
    <row r="712" ht="15.75" customHeight="1">
      <c r="A712" s="62"/>
      <c r="B712" s="79"/>
      <c r="C712" s="62"/>
      <c r="D712" s="62"/>
      <c r="E712" s="74"/>
      <c r="F712" s="62"/>
      <c r="G712" s="62"/>
      <c r="H712" s="62"/>
      <c r="I712" s="79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143"/>
      <c r="V712" s="143"/>
      <c r="W712" s="143"/>
      <c r="X712" s="62"/>
      <c r="Y712" s="62"/>
      <c r="Z712" s="143"/>
      <c r="AA712" s="143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78"/>
      <c r="BD712" s="78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  <c r="BS712" s="62"/>
      <c r="BT712" s="62"/>
      <c r="BU712" s="62"/>
      <c r="BV712" s="62"/>
      <c r="BW712" s="62"/>
      <c r="BX712" s="62"/>
      <c r="BY712" s="62"/>
      <c r="BZ712" s="62"/>
      <c r="CA712" s="62"/>
      <c r="CB712" s="62"/>
    </row>
    <row r="713" ht="15.75" customHeight="1">
      <c r="A713" s="62"/>
      <c r="B713" s="79"/>
      <c r="C713" s="62"/>
      <c r="D713" s="62"/>
      <c r="E713" s="74"/>
      <c r="F713" s="62"/>
      <c r="G713" s="62"/>
      <c r="H713" s="62"/>
      <c r="I713" s="79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143"/>
      <c r="V713" s="143"/>
      <c r="W713" s="143"/>
      <c r="X713" s="62"/>
      <c r="Y713" s="62"/>
      <c r="Z713" s="143"/>
      <c r="AA713" s="143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78"/>
      <c r="BD713" s="78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  <c r="BS713" s="62"/>
      <c r="BT713" s="62"/>
      <c r="BU713" s="62"/>
      <c r="BV713" s="62"/>
      <c r="BW713" s="62"/>
      <c r="BX713" s="62"/>
      <c r="BY713" s="62"/>
      <c r="BZ713" s="62"/>
      <c r="CA713" s="62"/>
      <c r="CB713" s="62"/>
    </row>
    <row r="714" ht="15.75" customHeight="1">
      <c r="A714" s="62"/>
      <c r="B714" s="79"/>
      <c r="C714" s="62"/>
      <c r="D714" s="62"/>
      <c r="E714" s="74"/>
      <c r="F714" s="62"/>
      <c r="G714" s="62"/>
      <c r="H714" s="62"/>
      <c r="I714" s="79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143"/>
      <c r="V714" s="143"/>
      <c r="W714" s="143"/>
      <c r="X714" s="62"/>
      <c r="Y714" s="62"/>
      <c r="Z714" s="143"/>
      <c r="AA714" s="143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78"/>
      <c r="BD714" s="78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  <c r="BS714" s="62"/>
      <c r="BT714" s="62"/>
      <c r="BU714" s="62"/>
      <c r="BV714" s="62"/>
      <c r="BW714" s="62"/>
      <c r="BX714" s="62"/>
      <c r="BY714" s="62"/>
      <c r="BZ714" s="62"/>
      <c r="CA714" s="62"/>
      <c r="CB714" s="62"/>
    </row>
    <row r="715" ht="15.75" customHeight="1">
      <c r="A715" s="62"/>
      <c r="B715" s="79"/>
      <c r="C715" s="62"/>
      <c r="D715" s="62"/>
      <c r="E715" s="74"/>
      <c r="F715" s="62"/>
      <c r="G715" s="62"/>
      <c r="H715" s="62"/>
      <c r="I715" s="79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143"/>
      <c r="V715" s="143"/>
      <c r="W715" s="143"/>
      <c r="X715" s="62"/>
      <c r="Y715" s="62"/>
      <c r="Z715" s="143"/>
      <c r="AA715" s="143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78"/>
      <c r="BD715" s="78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62"/>
      <c r="BS715" s="62"/>
      <c r="BT715" s="62"/>
      <c r="BU715" s="62"/>
      <c r="BV715" s="62"/>
      <c r="BW715" s="62"/>
      <c r="BX715" s="62"/>
      <c r="BY715" s="62"/>
      <c r="BZ715" s="62"/>
      <c r="CA715" s="62"/>
      <c r="CB715" s="62"/>
    </row>
    <row r="716" ht="15.75" customHeight="1">
      <c r="A716" s="62"/>
      <c r="B716" s="79"/>
      <c r="C716" s="62"/>
      <c r="D716" s="62"/>
      <c r="E716" s="74"/>
      <c r="F716" s="62"/>
      <c r="G716" s="62"/>
      <c r="H716" s="62"/>
      <c r="I716" s="79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143"/>
      <c r="V716" s="143"/>
      <c r="W716" s="143"/>
      <c r="X716" s="62"/>
      <c r="Y716" s="62"/>
      <c r="Z716" s="143"/>
      <c r="AA716" s="143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78"/>
      <c r="BD716" s="78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62"/>
      <c r="BS716" s="62"/>
      <c r="BT716" s="62"/>
      <c r="BU716" s="62"/>
      <c r="BV716" s="62"/>
      <c r="BW716" s="62"/>
      <c r="BX716" s="62"/>
      <c r="BY716" s="62"/>
      <c r="BZ716" s="62"/>
      <c r="CA716" s="62"/>
      <c r="CB716" s="62"/>
    </row>
    <row r="717" ht="15.75" customHeight="1">
      <c r="A717" s="62"/>
      <c r="B717" s="79"/>
      <c r="C717" s="62"/>
      <c r="D717" s="62"/>
      <c r="E717" s="74"/>
      <c r="F717" s="62"/>
      <c r="G717" s="62"/>
      <c r="H717" s="62"/>
      <c r="I717" s="79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143"/>
      <c r="V717" s="143"/>
      <c r="W717" s="143"/>
      <c r="X717" s="62"/>
      <c r="Y717" s="62"/>
      <c r="Z717" s="143"/>
      <c r="AA717" s="143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78"/>
      <c r="BD717" s="78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  <c r="BS717" s="62"/>
      <c r="BT717" s="62"/>
      <c r="BU717" s="62"/>
      <c r="BV717" s="62"/>
      <c r="BW717" s="62"/>
      <c r="BX717" s="62"/>
      <c r="BY717" s="62"/>
      <c r="BZ717" s="62"/>
      <c r="CA717" s="62"/>
      <c r="CB717" s="62"/>
    </row>
    <row r="718" ht="15.75" customHeight="1">
      <c r="A718" s="62"/>
      <c r="B718" s="79"/>
      <c r="C718" s="62"/>
      <c r="D718" s="62"/>
      <c r="E718" s="74"/>
      <c r="F718" s="62"/>
      <c r="G718" s="62"/>
      <c r="H718" s="62"/>
      <c r="I718" s="79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143"/>
      <c r="V718" s="143"/>
      <c r="W718" s="143"/>
      <c r="X718" s="62"/>
      <c r="Y718" s="62"/>
      <c r="Z718" s="143"/>
      <c r="AA718" s="143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78"/>
      <c r="BD718" s="78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  <c r="BS718" s="62"/>
      <c r="BT718" s="62"/>
      <c r="BU718" s="62"/>
      <c r="BV718" s="62"/>
      <c r="BW718" s="62"/>
      <c r="BX718" s="62"/>
      <c r="BY718" s="62"/>
      <c r="BZ718" s="62"/>
      <c r="CA718" s="62"/>
      <c r="CB718" s="62"/>
    </row>
    <row r="719" ht="15.75" customHeight="1">
      <c r="A719" s="62"/>
      <c r="B719" s="79"/>
      <c r="C719" s="62"/>
      <c r="D719" s="62"/>
      <c r="E719" s="74"/>
      <c r="F719" s="62"/>
      <c r="G719" s="62"/>
      <c r="H719" s="62"/>
      <c r="I719" s="79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143"/>
      <c r="V719" s="143"/>
      <c r="W719" s="143"/>
      <c r="X719" s="62"/>
      <c r="Y719" s="62"/>
      <c r="Z719" s="143"/>
      <c r="AA719" s="143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78"/>
      <c r="BD719" s="78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62"/>
      <c r="BS719" s="62"/>
      <c r="BT719" s="62"/>
      <c r="BU719" s="62"/>
      <c r="BV719" s="62"/>
      <c r="BW719" s="62"/>
      <c r="BX719" s="62"/>
      <c r="BY719" s="62"/>
      <c r="BZ719" s="62"/>
      <c r="CA719" s="62"/>
      <c r="CB719" s="62"/>
    </row>
    <row r="720" ht="15.75" customHeight="1">
      <c r="A720" s="62"/>
      <c r="B720" s="79"/>
      <c r="C720" s="62"/>
      <c r="D720" s="62"/>
      <c r="E720" s="74"/>
      <c r="F720" s="62"/>
      <c r="G720" s="62"/>
      <c r="H720" s="62"/>
      <c r="I720" s="79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143"/>
      <c r="V720" s="143"/>
      <c r="W720" s="143"/>
      <c r="X720" s="62"/>
      <c r="Y720" s="62"/>
      <c r="Z720" s="143"/>
      <c r="AA720" s="143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78"/>
      <c r="BD720" s="78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62"/>
      <c r="BS720" s="62"/>
      <c r="BT720" s="62"/>
      <c r="BU720" s="62"/>
      <c r="BV720" s="62"/>
      <c r="BW720" s="62"/>
      <c r="BX720" s="62"/>
      <c r="BY720" s="62"/>
      <c r="BZ720" s="62"/>
      <c r="CA720" s="62"/>
      <c r="CB720" s="62"/>
    </row>
    <row r="721" ht="15.75" customHeight="1">
      <c r="A721" s="62"/>
      <c r="B721" s="79"/>
      <c r="C721" s="62"/>
      <c r="D721" s="62"/>
      <c r="E721" s="74"/>
      <c r="F721" s="62"/>
      <c r="G721" s="62"/>
      <c r="H721" s="62"/>
      <c r="I721" s="79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143"/>
      <c r="V721" s="143"/>
      <c r="W721" s="143"/>
      <c r="X721" s="62"/>
      <c r="Y721" s="62"/>
      <c r="Z721" s="143"/>
      <c r="AA721" s="143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78"/>
      <c r="BD721" s="78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62"/>
      <c r="BS721" s="62"/>
      <c r="BT721" s="62"/>
      <c r="BU721" s="62"/>
      <c r="BV721" s="62"/>
      <c r="BW721" s="62"/>
      <c r="BX721" s="62"/>
      <c r="BY721" s="62"/>
      <c r="BZ721" s="62"/>
      <c r="CA721" s="62"/>
      <c r="CB721" s="62"/>
    </row>
    <row r="722" ht="15.75" customHeight="1">
      <c r="A722" s="62"/>
      <c r="B722" s="79"/>
      <c r="C722" s="62"/>
      <c r="D722" s="62"/>
      <c r="E722" s="74"/>
      <c r="F722" s="62"/>
      <c r="G722" s="62"/>
      <c r="H722" s="62"/>
      <c r="I722" s="79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143"/>
      <c r="V722" s="143"/>
      <c r="W722" s="143"/>
      <c r="X722" s="62"/>
      <c r="Y722" s="62"/>
      <c r="Z722" s="143"/>
      <c r="AA722" s="143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78"/>
      <c r="BD722" s="78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  <c r="BS722" s="62"/>
      <c r="BT722" s="62"/>
      <c r="BU722" s="62"/>
      <c r="BV722" s="62"/>
      <c r="BW722" s="62"/>
      <c r="BX722" s="62"/>
      <c r="BY722" s="62"/>
      <c r="BZ722" s="62"/>
      <c r="CA722" s="62"/>
      <c r="CB722" s="62"/>
    </row>
    <row r="723" ht="15.75" customHeight="1">
      <c r="A723" s="62"/>
      <c r="B723" s="79"/>
      <c r="C723" s="62"/>
      <c r="D723" s="62"/>
      <c r="E723" s="74"/>
      <c r="F723" s="62"/>
      <c r="G723" s="62"/>
      <c r="H723" s="62"/>
      <c r="I723" s="79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143"/>
      <c r="V723" s="143"/>
      <c r="W723" s="143"/>
      <c r="X723" s="62"/>
      <c r="Y723" s="62"/>
      <c r="Z723" s="143"/>
      <c r="AA723" s="143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78"/>
      <c r="BD723" s="78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  <c r="BS723" s="62"/>
      <c r="BT723" s="62"/>
      <c r="BU723" s="62"/>
      <c r="BV723" s="62"/>
      <c r="BW723" s="62"/>
      <c r="BX723" s="62"/>
      <c r="BY723" s="62"/>
      <c r="BZ723" s="62"/>
      <c r="CA723" s="62"/>
      <c r="CB723" s="62"/>
    </row>
    <row r="724" ht="15.75" customHeight="1">
      <c r="A724" s="62"/>
      <c r="B724" s="79"/>
      <c r="C724" s="62"/>
      <c r="D724" s="62"/>
      <c r="E724" s="74"/>
      <c r="F724" s="62"/>
      <c r="G724" s="62"/>
      <c r="H724" s="62"/>
      <c r="I724" s="79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143"/>
      <c r="V724" s="143"/>
      <c r="W724" s="143"/>
      <c r="X724" s="62"/>
      <c r="Y724" s="62"/>
      <c r="Z724" s="143"/>
      <c r="AA724" s="143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78"/>
      <c r="BD724" s="78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62"/>
      <c r="BS724" s="62"/>
      <c r="BT724" s="62"/>
      <c r="BU724" s="62"/>
      <c r="BV724" s="62"/>
      <c r="BW724" s="62"/>
      <c r="BX724" s="62"/>
      <c r="BY724" s="62"/>
      <c r="BZ724" s="62"/>
      <c r="CA724" s="62"/>
      <c r="CB724" s="62"/>
    </row>
    <row r="725" ht="15.75" customHeight="1">
      <c r="A725" s="62"/>
      <c r="B725" s="79"/>
      <c r="C725" s="62"/>
      <c r="D725" s="62"/>
      <c r="E725" s="74"/>
      <c r="F725" s="62"/>
      <c r="G725" s="62"/>
      <c r="H725" s="62"/>
      <c r="I725" s="79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143"/>
      <c r="V725" s="143"/>
      <c r="W725" s="143"/>
      <c r="X725" s="62"/>
      <c r="Y725" s="62"/>
      <c r="Z725" s="143"/>
      <c r="AA725" s="143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78"/>
      <c r="BD725" s="78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62"/>
      <c r="BS725" s="62"/>
      <c r="BT725" s="62"/>
      <c r="BU725" s="62"/>
      <c r="BV725" s="62"/>
      <c r="BW725" s="62"/>
      <c r="BX725" s="62"/>
      <c r="BY725" s="62"/>
      <c r="BZ725" s="62"/>
      <c r="CA725" s="62"/>
      <c r="CB725" s="62"/>
    </row>
    <row r="726" ht="15.75" customHeight="1">
      <c r="A726" s="62"/>
      <c r="B726" s="79"/>
      <c r="C726" s="62"/>
      <c r="D726" s="62"/>
      <c r="E726" s="74"/>
      <c r="F726" s="62"/>
      <c r="G726" s="62"/>
      <c r="H726" s="62"/>
      <c r="I726" s="79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143"/>
      <c r="V726" s="143"/>
      <c r="W726" s="143"/>
      <c r="X726" s="62"/>
      <c r="Y726" s="62"/>
      <c r="Z726" s="143"/>
      <c r="AA726" s="143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78"/>
      <c r="BD726" s="78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62"/>
      <c r="BS726" s="62"/>
      <c r="BT726" s="62"/>
      <c r="BU726" s="62"/>
      <c r="BV726" s="62"/>
      <c r="BW726" s="62"/>
      <c r="BX726" s="62"/>
      <c r="BY726" s="62"/>
      <c r="BZ726" s="62"/>
      <c r="CA726" s="62"/>
      <c r="CB726" s="62"/>
    </row>
    <row r="727" ht="15.75" customHeight="1">
      <c r="A727" s="62"/>
      <c r="B727" s="79"/>
      <c r="C727" s="62"/>
      <c r="D727" s="62"/>
      <c r="E727" s="74"/>
      <c r="F727" s="62"/>
      <c r="G727" s="62"/>
      <c r="H727" s="62"/>
      <c r="I727" s="79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143"/>
      <c r="V727" s="143"/>
      <c r="W727" s="143"/>
      <c r="X727" s="62"/>
      <c r="Y727" s="62"/>
      <c r="Z727" s="143"/>
      <c r="AA727" s="143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78"/>
      <c r="BD727" s="78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  <c r="BS727" s="62"/>
      <c r="BT727" s="62"/>
      <c r="BU727" s="62"/>
      <c r="BV727" s="62"/>
      <c r="BW727" s="62"/>
      <c r="BX727" s="62"/>
      <c r="BY727" s="62"/>
      <c r="BZ727" s="62"/>
      <c r="CA727" s="62"/>
      <c r="CB727" s="62"/>
    </row>
    <row r="728" ht="15.75" customHeight="1">
      <c r="A728" s="62"/>
      <c r="B728" s="79"/>
      <c r="C728" s="62"/>
      <c r="D728" s="62"/>
      <c r="E728" s="74"/>
      <c r="F728" s="62"/>
      <c r="G728" s="62"/>
      <c r="H728" s="62"/>
      <c r="I728" s="79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143"/>
      <c r="V728" s="143"/>
      <c r="W728" s="143"/>
      <c r="X728" s="62"/>
      <c r="Y728" s="62"/>
      <c r="Z728" s="143"/>
      <c r="AA728" s="143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78"/>
      <c r="BD728" s="78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  <c r="BS728" s="62"/>
      <c r="BT728" s="62"/>
      <c r="BU728" s="62"/>
      <c r="BV728" s="62"/>
      <c r="BW728" s="62"/>
      <c r="BX728" s="62"/>
      <c r="BY728" s="62"/>
      <c r="BZ728" s="62"/>
      <c r="CA728" s="62"/>
      <c r="CB728" s="62"/>
    </row>
    <row r="729" ht="15.75" customHeight="1">
      <c r="A729" s="62"/>
      <c r="B729" s="79"/>
      <c r="C729" s="62"/>
      <c r="D729" s="62"/>
      <c r="E729" s="74"/>
      <c r="F729" s="62"/>
      <c r="G729" s="62"/>
      <c r="H729" s="62"/>
      <c r="I729" s="79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143"/>
      <c r="V729" s="143"/>
      <c r="W729" s="143"/>
      <c r="X729" s="62"/>
      <c r="Y729" s="62"/>
      <c r="Z729" s="143"/>
      <c r="AA729" s="143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78"/>
      <c r="BD729" s="78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62"/>
      <c r="BS729" s="62"/>
      <c r="BT729" s="62"/>
      <c r="BU729" s="62"/>
      <c r="BV729" s="62"/>
      <c r="BW729" s="62"/>
      <c r="BX729" s="62"/>
      <c r="BY729" s="62"/>
      <c r="BZ729" s="62"/>
      <c r="CA729" s="62"/>
      <c r="CB729" s="62"/>
    </row>
    <row r="730" ht="15.75" customHeight="1">
      <c r="A730" s="62"/>
      <c r="B730" s="79"/>
      <c r="C730" s="62"/>
      <c r="D730" s="62"/>
      <c r="E730" s="74"/>
      <c r="F730" s="62"/>
      <c r="G730" s="62"/>
      <c r="H730" s="62"/>
      <c r="I730" s="79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143"/>
      <c r="V730" s="143"/>
      <c r="W730" s="143"/>
      <c r="X730" s="62"/>
      <c r="Y730" s="62"/>
      <c r="Z730" s="143"/>
      <c r="AA730" s="143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78"/>
      <c r="BD730" s="78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62"/>
      <c r="BS730" s="62"/>
      <c r="BT730" s="62"/>
      <c r="BU730" s="62"/>
      <c r="BV730" s="62"/>
      <c r="BW730" s="62"/>
      <c r="BX730" s="62"/>
      <c r="BY730" s="62"/>
      <c r="BZ730" s="62"/>
      <c r="CA730" s="62"/>
      <c r="CB730" s="62"/>
    </row>
    <row r="731" ht="15.75" customHeight="1">
      <c r="A731" s="62"/>
      <c r="B731" s="79"/>
      <c r="C731" s="62"/>
      <c r="D731" s="62"/>
      <c r="E731" s="74"/>
      <c r="F731" s="62"/>
      <c r="G731" s="62"/>
      <c r="H731" s="62"/>
      <c r="I731" s="79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143"/>
      <c r="V731" s="143"/>
      <c r="W731" s="143"/>
      <c r="X731" s="62"/>
      <c r="Y731" s="62"/>
      <c r="Z731" s="143"/>
      <c r="AA731" s="143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78"/>
      <c r="BD731" s="78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62"/>
      <c r="BS731" s="62"/>
      <c r="BT731" s="62"/>
      <c r="BU731" s="62"/>
      <c r="BV731" s="62"/>
      <c r="BW731" s="62"/>
      <c r="BX731" s="62"/>
      <c r="BY731" s="62"/>
      <c r="BZ731" s="62"/>
      <c r="CA731" s="62"/>
      <c r="CB731" s="62"/>
    </row>
    <row r="732" ht="15.75" customHeight="1">
      <c r="A732" s="62"/>
      <c r="B732" s="79"/>
      <c r="C732" s="62"/>
      <c r="D732" s="62"/>
      <c r="E732" s="74"/>
      <c r="F732" s="62"/>
      <c r="G732" s="62"/>
      <c r="H732" s="62"/>
      <c r="I732" s="79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143"/>
      <c r="V732" s="143"/>
      <c r="W732" s="143"/>
      <c r="X732" s="62"/>
      <c r="Y732" s="62"/>
      <c r="Z732" s="143"/>
      <c r="AA732" s="143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78"/>
      <c r="BD732" s="78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</row>
    <row r="733" ht="15.75" customHeight="1">
      <c r="A733" s="62"/>
      <c r="B733" s="79"/>
      <c r="C733" s="62"/>
      <c r="D733" s="62"/>
      <c r="E733" s="74"/>
      <c r="F733" s="62"/>
      <c r="G733" s="62"/>
      <c r="H733" s="62"/>
      <c r="I733" s="79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143"/>
      <c r="V733" s="143"/>
      <c r="W733" s="143"/>
      <c r="X733" s="62"/>
      <c r="Y733" s="62"/>
      <c r="Z733" s="143"/>
      <c r="AA733" s="143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78"/>
      <c r="BD733" s="78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</row>
    <row r="734" ht="15.75" customHeight="1">
      <c r="A734" s="62"/>
      <c r="B734" s="79"/>
      <c r="C734" s="62"/>
      <c r="D734" s="62"/>
      <c r="E734" s="74"/>
      <c r="F734" s="62"/>
      <c r="G734" s="62"/>
      <c r="H734" s="62"/>
      <c r="I734" s="79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143"/>
      <c r="V734" s="143"/>
      <c r="W734" s="143"/>
      <c r="X734" s="62"/>
      <c r="Y734" s="62"/>
      <c r="Z734" s="143"/>
      <c r="AA734" s="143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78"/>
      <c r="BD734" s="78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</row>
    <row r="735" ht="15.75" customHeight="1">
      <c r="A735" s="62"/>
      <c r="B735" s="79"/>
      <c r="C735" s="62"/>
      <c r="D735" s="62"/>
      <c r="E735" s="74"/>
      <c r="F735" s="62"/>
      <c r="G735" s="62"/>
      <c r="H735" s="62"/>
      <c r="I735" s="79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143"/>
      <c r="V735" s="143"/>
      <c r="W735" s="143"/>
      <c r="X735" s="62"/>
      <c r="Y735" s="62"/>
      <c r="Z735" s="143"/>
      <c r="AA735" s="143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78"/>
      <c r="BD735" s="78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</row>
    <row r="736" ht="15.75" customHeight="1">
      <c r="A736" s="62"/>
      <c r="B736" s="79"/>
      <c r="C736" s="62"/>
      <c r="D736" s="62"/>
      <c r="E736" s="74"/>
      <c r="F736" s="62"/>
      <c r="G736" s="62"/>
      <c r="H736" s="62"/>
      <c r="I736" s="79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143"/>
      <c r="V736" s="143"/>
      <c r="W736" s="143"/>
      <c r="X736" s="62"/>
      <c r="Y736" s="62"/>
      <c r="Z736" s="143"/>
      <c r="AA736" s="143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78"/>
      <c r="BD736" s="78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</row>
    <row r="737" ht="15.75" customHeight="1">
      <c r="A737" s="62"/>
      <c r="B737" s="79"/>
      <c r="C737" s="62"/>
      <c r="D737" s="62"/>
      <c r="E737" s="74"/>
      <c r="F737" s="62"/>
      <c r="G737" s="62"/>
      <c r="H737" s="62"/>
      <c r="I737" s="79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143"/>
      <c r="V737" s="143"/>
      <c r="W737" s="143"/>
      <c r="X737" s="62"/>
      <c r="Y737" s="62"/>
      <c r="Z737" s="143"/>
      <c r="AA737" s="143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78"/>
      <c r="BD737" s="78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</row>
    <row r="738" ht="15.75" customHeight="1">
      <c r="A738" s="62"/>
      <c r="B738" s="79"/>
      <c r="C738" s="62"/>
      <c r="D738" s="62"/>
      <c r="E738" s="74"/>
      <c r="F738" s="62"/>
      <c r="G738" s="62"/>
      <c r="H738" s="62"/>
      <c r="I738" s="79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143"/>
      <c r="V738" s="143"/>
      <c r="W738" s="143"/>
      <c r="X738" s="62"/>
      <c r="Y738" s="62"/>
      <c r="Z738" s="143"/>
      <c r="AA738" s="143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78"/>
      <c r="BD738" s="78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</row>
    <row r="739" ht="15.75" customHeight="1">
      <c r="A739" s="62"/>
      <c r="B739" s="79"/>
      <c r="C739" s="62"/>
      <c r="D739" s="62"/>
      <c r="E739" s="74"/>
      <c r="F739" s="62"/>
      <c r="G739" s="62"/>
      <c r="H739" s="62"/>
      <c r="I739" s="79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143"/>
      <c r="V739" s="143"/>
      <c r="W739" s="143"/>
      <c r="X739" s="62"/>
      <c r="Y739" s="62"/>
      <c r="Z739" s="143"/>
      <c r="AA739" s="143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78"/>
      <c r="BD739" s="78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</row>
    <row r="740" ht="15.75" customHeight="1">
      <c r="A740" s="62"/>
      <c r="B740" s="79"/>
      <c r="C740" s="62"/>
      <c r="D740" s="62"/>
      <c r="E740" s="74"/>
      <c r="F740" s="62"/>
      <c r="G740" s="62"/>
      <c r="H740" s="62"/>
      <c r="I740" s="79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143"/>
      <c r="V740" s="143"/>
      <c r="W740" s="143"/>
      <c r="X740" s="62"/>
      <c r="Y740" s="62"/>
      <c r="Z740" s="143"/>
      <c r="AA740" s="143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78"/>
      <c r="BD740" s="78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</row>
    <row r="741" ht="15.75" customHeight="1">
      <c r="A741" s="62"/>
      <c r="B741" s="79"/>
      <c r="C741" s="62"/>
      <c r="D741" s="62"/>
      <c r="E741" s="74"/>
      <c r="F741" s="62"/>
      <c r="G741" s="62"/>
      <c r="H741" s="62"/>
      <c r="I741" s="79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143"/>
      <c r="V741" s="143"/>
      <c r="W741" s="143"/>
      <c r="X741" s="62"/>
      <c r="Y741" s="62"/>
      <c r="Z741" s="143"/>
      <c r="AA741" s="143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78"/>
      <c r="BD741" s="78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</row>
    <row r="742" ht="15.75" customHeight="1">
      <c r="A742" s="62"/>
      <c r="B742" s="79"/>
      <c r="C742" s="62"/>
      <c r="D742" s="62"/>
      <c r="E742" s="74"/>
      <c r="F742" s="62"/>
      <c r="G742" s="62"/>
      <c r="H742" s="62"/>
      <c r="I742" s="79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143"/>
      <c r="V742" s="143"/>
      <c r="W742" s="143"/>
      <c r="X742" s="62"/>
      <c r="Y742" s="62"/>
      <c r="Z742" s="143"/>
      <c r="AA742" s="143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78"/>
      <c r="BD742" s="78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2"/>
      <c r="CA742" s="62"/>
      <c r="CB742" s="62"/>
    </row>
    <row r="743" ht="15.75" customHeight="1">
      <c r="A743" s="62"/>
      <c r="B743" s="79"/>
      <c r="C743" s="62"/>
      <c r="D743" s="62"/>
      <c r="E743" s="74"/>
      <c r="F743" s="62"/>
      <c r="G743" s="62"/>
      <c r="H743" s="62"/>
      <c r="I743" s="79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143"/>
      <c r="V743" s="143"/>
      <c r="W743" s="143"/>
      <c r="X743" s="62"/>
      <c r="Y743" s="62"/>
      <c r="Z743" s="143"/>
      <c r="AA743" s="143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78"/>
      <c r="BD743" s="78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  <c r="BS743" s="62"/>
      <c r="BT743" s="62"/>
      <c r="BU743" s="62"/>
      <c r="BV743" s="62"/>
      <c r="BW743" s="62"/>
      <c r="BX743" s="62"/>
      <c r="BY743" s="62"/>
      <c r="BZ743" s="62"/>
      <c r="CA743" s="62"/>
      <c r="CB743" s="62"/>
    </row>
    <row r="744" ht="15.75" customHeight="1">
      <c r="A744" s="62"/>
      <c r="B744" s="79"/>
      <c r="C744" s="62"/>
      <c r="D744" s="62"/>
      <c r="E744" s="74"/>
      <c r="F744" s="62"/>
      <c r="G744" s="62"/>
      <c r="H744" s="62"/>
      <c r="I744" s="79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143"/>
      <c r="V744" s="143"/>
      <c r="W744" s="143"/>
      <c r="X744" s="62"/>
      <c r="Y744" s="62"/>
      <c r="Z744" s="143"/>
      <c r="AA744" s="143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78"/>
      <c r="BD744" s="78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  <c r="BS744" s="62"/>
      <c r="BT744" s="62"/>
      <c r="BU744" s="62"/>
      <c r="BV744" s="62"/>
      <c r="BW744" s="62"/>
      <c r="BX744" s="62"/>
      <c r="BY744" s="62"/>
      <c r="BZ744" s="62"/>
      <c r="CA744" s="62"/>
      <c r="CB744" s="62"/>
    </row>
    <row r="745" ht="15.75" customHeight="1">
      <c r="A745" s="62"/>
      <c r="B745" s="79"/>
      <c r="C745" s="62"/>
      <c r="D745" s="62"/>
      <c r="E745" s="74"/>
      <c r="F745" s="62"/>
      <c r="G745" s="62"/>
      <c r="H745" s="62"/>
      <c r="I745" s="79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143"/>
      <c r="V745" s="143"/>
      <c r="W745" s="143"/>
      <c r="X745" s="62"/>
      <c r="Y745" s="62"/>
      <c r="Z745" s="143"/>
      <c r="AA745" s="143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78"/>
      <c r="BD745" s="78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62"/>
      <c r="BS745" s="62"/>
      <c r="BT745" s="62"/>
      <c r="BU745" s="62"/>
      <c r="BV745" s="62"/>
      <c r="BW745" s="62"/>
      <c r="BX745" s="62"/>
      <c r="BY745" s="62"/>
      <c r="BZ745" s="62"/>
      <c r="CA745" s="62"/>
      <c r="CB745" s="62"/>
    </row>
    <row r="746" ht="15.75" customHeight="1">
      <c r="A746" s="62"/>
      <c r="B746" s="79"/>
      <c r="C746" s="62"/>
      <c r="D746" s="62"/>
      <c r="E746" s="74"/>
      <c r="F746" s="62"/>
      <c r="G746" s="62"/>
      <c r="H746" s="62"/>
      <c r="I746" s="79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143"/>
      <c r="V746" s="143"/>
      <c r="W746" s="143"/>
      <c r="X746" s="62"/>
      <c r="Y746" s="62"/>
      <c r="Z746" s="143"/>
      <c r="AA746" s="143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78"/>
      <c r="BD746" s="78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62"/>
      <c r="BS746" s="62"/>
      <c r="BT746" s="62"/>
      <c r="BU746" s="62"/>
      <c r="BV746" s="62"/>
      <c r="BW746" s="62"/>
      <c r="BX746" s="62"/>
      <c r="BY746" s="62"/>
      <c r="BZ746" s="62"/>
      <c r="CA746" s="62"/>
      <c r="CB746" s="62"/>
    </row>
    <row r="747" ht="15.75" customHeight="1">
      <c r="A747" s="62"/>
      <c r="B747" s="79"/>
      <c r="C747" s="62"/>
      <c r="D747" s="62"/>
      <c r="E747" s="74"/>
      <c r="F747" s="62"/>
      <c r="G747" s="62"/>
      <c r="H747" s="62"/>
      <c r="I747" s="79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143"/>
      <c r="V747" s="143"/>
      <c r="W747" s="143"/>
      <c r="X747" s="62"/>
      <c r="Y747" s="62"/>
      <c r="Z747" s="143"/>
      <c r="AA747" s="143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78"/>
      <c r="BD747" s="78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  <c r="BS747" s="62"/>
      <c r="BT747" s="62"/>
      <c r="BU747" s="62"/>
      <c r="BV747" s="62"/>
      <c r="BW747" s="62"/>
      <c r="BX747" s="62"/>
      <c r="BY747" s="62"/>
      <c r="BZ747" s="62"/>
      <c r="CA747" s="62"/>
      <c r="CB747" s="62"/>
    </row>
    <row r="748" ht="15.75" customHeight="1">
      <c r="A748" s="62"/>
      <c r="B748" s="79"/>
      <c r="C748" s="62"/>
      <c r="D748" s="62"/>
      <c r="E748" s="74"/>
      <c r="F748" s="62"/>
      <c r="G748" s="62"/>
      <c r="H748" s="62"/>
      <c r="I748" s="79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143"/>
      <c r="V748" s="143"/>
      <c r="W748" s="143"/>
      <c r="X748" s="62"/>
      <c r="Y748" s="62"/>
      <c r="Z748" s="143"/>
      <c r="AA748" s="143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78"/>
      <c r="BD748" s="78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  <c r="BS748" s="62"/>
      <c r="BT748" s="62"/>
      <c r="BU748" s="62"/>
      <c r="BV748" s="62"/>
      <c r="BW748" s="62"/>
      <c r="BX748" s="62"/>
      <c r="BY748" s="62"/>
      <c r="BZ748" s="62"/>
      <c r="CA748" s="62"/>
      <c r="CB748" s="62"/>
    </row>
    <row r="749" ht="15.75" customHeight="1">
      <c r="A749" s="62"/>
      <c r="B749" s="79"/>
      <c r="C749" s="62"/>
      <c r="D749" s="62"/>
      <c r="E749" s="74"/>
      <c r="F749" s="62"/>
      <c r="G749" s="62"/>
      <c r="H749" s="62"/>
      <c r="I749" s="79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143"/>
      <c r="V749" s="143"/>
      <c r="W749" s="143"/>
      <c r="X749" s="62"/>
      <c r="Y749" s="62"/>
      <c r="Z749" s="143"/>
      <c r="AA749" s="143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78"/>
      <c r="BD749" s="78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62"/>
      <c r="BS749" s="62"/>
      <c r="BT749" s="62"/>
      <c r="BU749" s="62"/>
      <c r="BV749" s="62"/>
      <c r="BW749" s="62"/>
      <c r="BX749" s="62"/>
      <c r="BY749" s="62"/>
      <c r="BZ749" s="62"/>
      <c r="CA749" s="62"/>
      <c r="CB749" s="62"/>
    </row>
    <row r="750" ht="15.75" customHeight="1">
      <c r="A750" s="62"/>
      <c r="B750" s="79"/>
      <c r="C750" s="62"/>
      <c r="D750" s="62"/>
      <c r="E750" s="74"/>
      <c r="F750" s="62"/>
      <c r="G750" s="62"/>
      <c r="H750" s="62"/>
      <c r="I750" s="79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143"/>
      <c r="V750" s="143"/>
      <c r="W750" s="143"/>
      <c r="X750" s="62"/>
      <c r="Y750" s="62"/>
      <c r="Z750" s="143"/>
      <c r="AA750" s="143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78"/>
      <c r="BD750" s="78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  <c r="BS750" s="62"/>
      <c r="BT750" s="62"/>
      <c r="BU750" s="62"/>
      <c r="BV750" s="62"/>
      <c r="BW750" s="62"/>
      <c r="BX750" s="62"/>
      <c r="BY750" s="62"/>
      <c r="BZ750" s="62"/>
      <c r="CA750" s="62"/>
      <c r="CB750" s="62"/>
    </row>
    <row r="751" ht="15.75" customHeight="1">
      <c r="A751" s="62"/>
      <c r="B751" s="79"/>
      <c r="C751" s="62"/>
      <c r="D751" s="62"/>
      <c r="E751" s="74"/>
      <c r="F751" s="62"/>
      <c r="G751" s="62"/>
      <c r="H751" s="62"/>
      <c r="I751" s="79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143"/>
      <c r="V751" s="143"/>
      <c r="W751" s="143"/>
      <c r="X751" s="62"/>
      <c r="Y751" s="62"/>
      <c r="Z751" s="143"/>
      <c r="AA751" s="143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78"/>
      <c r="BD751" s="78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  <c r="BS751" s="62"/>
      <c r="BT751" s="62"/>
      <c r="BU751" s="62"/>
      <c r="BV751" s="62"/>
      <c r="BW751" s="62"/>
      <c r="BX751" s="62"/>
      <c r="BY751" s="62"/>
      <c r="BZ751" s="62"/>
      <c r="CA751" s="62"/>
      <c r="CB751" s="62"/>
    </row>
    <row r="752" ht="15.75" customHeight="1">
      <c r="A752" s="62"/>
      <c r="B752" s="79"/>
      <c r="C752" s="62"/>
      <c r="D752" s="62"/>
      <c r="E752" s="74"/>
      <c r="F752" s="62"/>
      <c r="G752" s="62"/>
      <c r="H752" s="62"/>
      <c r="I752" s="79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143"/>
      <c r="V752" s="143"/>
      <c r="W752" s="143"/>
      <c r="X752" s="62"/>
      <c r="Y752" s="62"/>
      <c r="Z752" s="143"/>
      <c r="AA752" s="143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78"/>
      <c r="BD752" s="78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  <c r="BS752" s="62"/>
      <c r="BT752" s="62"/>
      <c r="BU752" s="62"/>
      <c r="BV752" s="62"/>
      <c r="BW752" s="62"/>
      <c r="BX752" s="62"/>
      <c r="BY752" s="62"/>
      <c r="BZ752" s="62"/>
      <c r="CA752" s="62"/>
      <c r="CB752" s="62"/>
    </row>
    <row r="753" ht="15.75" customHeight="1">
      <c r="A753" s="62"/>
      <c r="B753" s="79"/>
      <c r="C753" s="62"/>
      <c r="D753" s="62"/>
      <c r="E753" s="74"/>
      <c r="F753" s="62"/>
      <c r="G753" s="62"/>
      <c r="H753" s="62"/>
      <c r="I753" s="79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143"/>
      <c r="V753" s="143"/>
      <c r="W753" s="143"/>
      <c r="X753" s="62"/>
      <c r="Y753" s="62"/>
      <c r="Z753" s="143"/>
      <c r="AA753" s="143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78"/>
      <c r="BD753" s="78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  <c r="BS753" s="62"/>
      <c r="BT753" s="62"/>
      <c r="BU753" s="62"/>
      <c r="BV753" s="62"/>
      <c r="BW753" s="62"/>
      <c r="BX753" s="62"/>
      <c r="BY753" s="62"/>
      <c r="BZ753" s="62"/>
      <c r="CA753" s="62"/>
      <c r="CB753" s="62"/>
    </row>
    <row r="754" ht="15.75" customHeight="1">
      <c r="A754" s="62"/>
      <c r="B754" s="79"/>
      <c r="C754" s="62"/>
      <c r="D754" s="62"/>
      <c r="E754" s="74"/>
      <c r="F754" s="62"/>
      <c r="G754" s="62"/>
      <c r="H754" s="62"/>
      <c r="I754" s="79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143"/>
      <c r="V754" s="143"/>
      <c r="W754" s="143"/>
      <c r="X754" s="62"/>
      <c r="Y754" s="62"/>
      <c r="Z754" s="143"/>
      <c r="AA754" s="143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78"/>
      <c r="BD754" s="78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62"/>
      <c r="BS754" s="62"/>
      <c r="BT754" s="62"/>
      <c r="BU754" s="62"/>
      <c r="BV754" s="62"/>
      <c r="BW754" s="62"/>
      <c r="BX754" s="62"/>
      <c r="BY754" s="62"/>
      <c r="BZ754" s="62"/>
      <c r="CA754" s="62"/>
      <c r="CB754" s="62"/>
    </row>
    <row r="755" ht="15.75" customHeight="1">
      <c r="A755" s="62"/>
      <c r="B755" s="79"/>
      <c r="C755" s="62"/>
      <c r="D755" s="62"/>
      <c r="E755" s="74"/>
      <c r="F755" s="62"/>
      <c r="G755" s="62"/>
      <c r="H755" s="62"/>
      <c r="I755" s="79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143"/>
      <c r="V755" s="143"/>
      <c r="W755" s="143"/>
      <c r="X755" s="62"/>
      <c r="Y755" s="62"/>
      <c r="Z755" s="143"/>
      <c r="AA755" s="143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78"/>
      <c r="BD755" s="78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62"/>
      <c r="BS755" s="62"/>
      <c r="BT755" s="62"/>
      <c r="BU755" s="62"/>
      <c r="BV755" s="62"/>
      <c r="BW755" s="62"/>
      <c r="BX755" s="62"/>
      <c r="BY755" s="62"/>
      <c r="BZ755" s="62"/>
      <c r="CA755" s="62"/>
      <c r="CB755" s="62"/>
    </row>
    <row r="756" ht="15.75" customHeight="1">
      <c r="A756" s="62"/>
      <c r="B756" s="79"/>
      <c r="C756" s="62"/>
      <c r="D756" s="62"/>
      <c r="E756" s="74"/>
      <c r="F756" s="62"/>
      <c r="G756" s="62"/>
      <c r="H756" s="62"/>
      <c r="I756" s="79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143"/>
      <c r="V756" s="143"/>
      <c r="W756" s="143"/>
      <c r="X756" s="62"/>
      <c r="Y756" s="62"/>
      <c r="Z756" s="143"/>
      <c r="AA756" s="143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78"/>
      <c r="BD756" s="78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2"/>
      <c r="BS756" s="62"/>
      <c r="BT756" s="62"/>
      <c r="BU756" s="62"/>
      <c r="BV756" s="62"/>
      <c r="BW756" s="62"/>
      <c r="BX756" s="62"/>
      <c r="BY756" s="62"/>
      <c r="BZ756" s="62"/>
      <c r="CA756" s="62"/>
      <c r="CB756" s="62"/>
    </row>
    <row r="757" ht="15.75" customHeight="1">
      <c r="A757" s="62"/>
      <c r="B757" s="79"/>
      <c r="C757" s="62"/>
      <c r="D757" s="62"/>
      <c r="E757" s="74"/>
      <c r="F757" s="62"/>
      <c r="G757" s="62"/>
      <c r="H757" s="62"/>
      <c r="I757" s="79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143"/>
      <c r="V757" s="143"/>
      <c r="W757" s="143"/>
      <c r="X757" s="62"/>
      <c r="Y757" s="62"/>
      <c r="Z757" s="143"/>
      <c r="AA757" s="143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78"/>
      <c r="BD757" s="78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  <c r="BS757" s="62"/>
      <c r="BT757" s="62"/>
      <c r="BU757" s="62"/>
      <c r="BV757" s="62"/>
      <c r="BW757" s="62"/>
      <c r="BX757" s="62"/>
      <c r="BY757" s="62"/>
      <c r="BZ757" s="62"/>
      <c r="CA757" s="62"/>
      <c r="CB757" s="62"/>
    </row>
    <row r="758" ht="15.75" customHeight="1">
      <c r="A758" s="62"/>
      <c r="B758" s="79"/>
      <c r="C758" s="62"/>
      <c r="D758" s="62"/>
      <c r="E758" s="74"/>
      <c r="F758" s="62"/>
      <c r="G758" s="62"/>
      <c r="H758" s="62"/>
      <c r="I758" s="79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143"/>
      <c r="V758" s="143"/>
      <c r="W758" s="143"/>
      <c r="X758" s="62"/>
      <c r="Y758" s="62"/>
      <c r="Z758" s="143"/>
      <c r="AA758" s="143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78"/>
      <c r="BD758" s="78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  <c r="BS758" s="62"/>
      <c r="BT758" s="62"/>
      <c r="BU758" s="62"/>
      <c r="BV758" s="62"/>
      <c r="BW758" s="62"/>
      <c r="BX758" s="62"/>
      <c r="BY758" s="62"/>
      <c r="BZ758" s="62"/>
      <c r="CA758" s="62"/>
      <c r="CB758" s="62"/>
    </row>
    <row r="759" ht="15.75" customHeight="1">
      <c r="A759" s="62"/>
      <c r="B759" s="79"/>
      <c r="C759" s="62"/>
      <c r="D759" s="62"/>
      <c r="E759" s="74"/>
      <c r="F759" s="62"/>
      <c r="G759" s="62"/>
      <c r="H759" s="62"/>
      <c r="I759" s="79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143"/>
      <c r="V759" s="143"/>
      <c r="W759" s="143"/>
      <c r="X759" s="62"/>
      <c r="Y759" s="62"/>
      <c r="Z759" s="143"/>
      <c r="AA759" s="143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78"/>
      <c r="BD759" s="78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62"/>
      <c r="BS759" s="62"/>
      <c r="BT759" s="62"/>
      <c r="BU759" s="62"/>
      <c r="BV759" s="62"/>
      <c r="BW759" s="62"/>
      <c r="BX759" s="62"/>
      <c r="BY759" s="62"/>
      <c r="BZ759" s="62"/>
      <c r="CA759" s="62"/>
      <c r="CB759" s="62"/>
    </row>
    <row r="760" ht="15.75" customHeight="1">
      <c r="A760" s="62"/>
      <c r="B760" s="79"/>
      <c r="C760" s="62"/>
      <c r="D760" s="62"/>
      <c r="E760" s="74"/>
      <c r="F760" s="62"/>
      <c r="G760" s="62"/>
      <c r="H760" s="62"/>
      <c r="I760" s="79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143"/>
      <c r="V760" s="143"/>
      <c r="W760" s="143"/>
      <c r="X760" s="62"/>
      <c r="Y760" s="62"/>
      <c r="Z760" s="143"/>
      <c r="AA760" s="143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78"/>
      <c r="BD760" s="78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62"/>
      <c r="BS760" s="62"/>
      <c r="BT760" s="62"/>
      <c r="BU760" s="62"/>
      <c r="BV760" s="62"/>
      <c r="BW760" s="62"/>
      <c r="BX760" s="62"/>
      <c r="BY760" s="62"/>
      <c r="BZ760" s="62"/>
      <c r="CA760" s="62"/>
      <c r="CB760" s="62"/>
    </row>
    <row r="761" ht="15.75" customHeight="1">
      <c r="A761" s="62"/>
      <c r="B761" s="79"/>
      <c r="C761" s="62"/>
      <c r="D761" s="62"/>
      <c r="E761" s="74"/>
      <c r="F761" s="62"/>
      <c r="G761" s="62"/>
      <c r="H761" s="62"/>
      <c r="I761" s="79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143"/>
      <c r="V761" s="143"/>
      <c r="W761" s="143"/>
      <c r="X761" s="62"/>
      <c r="Y761" s="62"/>
      <c r="Z761" s="143"/>
      <c r="AA761" s="143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78"/>
      <c r="BD761" s="78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  <c r="BS761" s="62"/>
      <c r="BT761" s="62"/>
      <c r="BU761" s="62"/>
      <c r="BV761" s="62"/>
      <c r="BW761" s="62"/>
      <c r="BX761" s="62"/>
      <c r="BY761" s="62"/>
      <c r="BZ761" s="62"/>
      <c r="CA761" s="62"/>
      <c r="CB761" s="62"/>
    </row>
    <row r="762" ht="15.75" customHeight="1">
      <c r="A762" s="62"/>
      <c r="B762" s="79"/>
      <c r="C762" s="62"/>
      <c r="D762" s="62"/>
      <c r="E762" s="74"/>
      <c r="F762" s="62"/>
      <c r="G762" s="62"/>
      <c r="H762" s="62"/>
      <c r="I762" s="79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143"/>
      <c r="V762" s="143"/>
      <c r="W762" s="143"/>
      <c r="X762" s="62"/>
      <c r="Y762" s="62"/>
      <c r="Z762" s="143"/>
      <c r="AA762" s="143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78"/>
      <c r="BD762" s="78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  <c r="BS762" s="62"/>
      <c r="BT762" s="62"/>
      <c r="BU762" s="62"/>
      <c r="BV762" s="62"/>
      <c r="BW762" s="62"/>
      <c r="BX762" s="62"/>
      <c r="BY762" s="62"/>
      <c r="BZ762" s="62"/>
      <c r="CA762" s="62"/>
      <c r="CB762" s="62"/>
    </row>
    <row r="763" ht="15.75" customHeight="1">
      <c r="A763" s="62"/>
      <c r="B763" s="79"/>
      <c r="C763" s="62"/>
      <c r="D763" s="62"/>
      <c r="E763" s="74"/>
      <c r="F763" s="62"/>
      <c r="G763" s="62"/>
      <c r="H763" s="62"/>
      <c r="I763" s="79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143"/>
      <c r="V763" s="143"/>
      <c r="W763" s="143"/>
      <c r="X763" s="62"/>
      <c r="Y763" s="62"/>
      <c r="Z763" s="143"/>
      <c r="AA763" s="143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78"/>
      <c r="BD763" s="78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  <c r="BS763" s="62"/>
      <c r="BT763" s="62"/>
      <c r="BU763" s="62"/>
      <c r="BV763" s="62"/>
      <c r="BW763" s="62"/>
      <c r="BX763" s="62"/>
      <c r="BY763" s="62"/>
      <c r="BZ763" s="62"/>
      <c r="CA763" s="62"/>
      <c r="CB763" s="62"/>
    </row>
    <row r="764" ht="15.75" customHeight="1">
      <c r="A764" s="62"/>
      <c r="B764" s="79"/>
      <c r="C764" s="62"/>
      <c r="D764" s="62"/>
      <c r="E764" s="74"/>
      <c r="F764" s="62"/>
      <c r="G764" s="62"/>
      <c r="H764" s="62"/>
      <c r="I764" s="79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143"/>
      <c r="V764" s="143"/>
      <c r="W764" s="143"/>
      <c r="X764" s="62"/>
      <c r="Y764" s="62"/>
      <c r="Z764" s="143"/>
      <c r="AA764" s="143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78"/>
      <c r="BD764" s="78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62"/>
      <c r="BS764" s="62"/>
      <c r="BT764" s="62"/>
      <c r="BU764" s="62"/>
      <c r="BV764" s="62"/>
      <c r="BW764" s="62"/>
      <c r="BX764" s="62"/>
      <c r="BY764" s="62"/>
      <c r="BZ764" s="62"/>
      <c r="CA764" s="62"/>
      <c r="CB764" s="62"/>
    </row>
    <row r="765" ht="15.75" customHeight="1">
      <c r="A765" s="62"/>
      <c r="B765" s="79"/>
      <c r="C765" s="62"/>
      <c r="D765" s="62"/>
      <c r="E765" s="74"/>
      <c r="F765" s="62"/>
      <c r="G765" s="62"/>
      <c r="H765" s="62"/>
      <c r="I765" s="79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143"/>
      <c r="V765" s="143"/>
      <c r="W765" s="143"/>
      <c r="X765" s="62"/>
      <c r="Y765" s="62"/>
      <c r="Z765" s="143"/>
      <c r="AA765" s="143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78"/>
      <c r="BD765" s="78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  <c r="BS765" s="62"/>
      <c r="BT765" s="62"/>
      <c r="BU765" s="62"/>
      <c r="BV765" s="62"/>
      <c r="BW765" s="62"/>
      <c r="BX765" s="62"/>
      <c r="BY765" s="62"/>
      <c r="BZ765" s="62"/>
      <c r="CA765" s="62"/>
      <c r="CB765" s="62"/>
    </row>
    <row r="766" ht="15.75" customHeight="1">
      <c r="A766" s="62"/>
      <c r="B766" s="79"/>
      <c r="C766" s="62"/>
      <c r="D766" s="62"/>
      <c r="E766" s="74"/>
      <c r="F766" s="62"/>
      <c r="G766" s="62"/>
      <c r="H766" s="62"/>
      <c r="I766" s="79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143"/>
      <c r="V766" s="143"/>
      <c r="W766" s="143"/>
      <c r="X766" s="62"/>
      <c r="Y766" s="62"/>
      <c r="Z766" s="143"/>
      <c r="AA766" s="143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78"/>
      <c r="BD766" s="78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  <c r="BS766" s="62"/>
      <c r="BT766" s="62"/>
      <c r="BU766" s="62"/>
      <c r="BV766" s="62"/>
      <c r="BW766" s="62"/>
      <c r="BX766" s="62"/>
      <c r="BY766" s="62"/>
      <c r="BZ766" s="62"/>
      <c r="CA766" s="62"/>
      <c r="CB766" s="62"/>
    </row>
    <row r="767" ht="15.75" customHeight="1">
      <c r="A767" s="62"/>
      <c r="B767" s="79"/>
      <c r="C767" s="62"/>
      <c r="D767" s="62"/>
      <c r="E767" s="74"/>
      <c r="F767" s="62"/>
      <c r="G767" s="62"/>
      <c r="H767" s="62"/>
      <c r="I767" s="79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143"/>
      <c r="V767" s="143"/>
      <c r="W767" s="143"/>
      <c r="X767" s="62"/>
      <c r="Y767" s="62"/>
      <c r="Z767" s="143"/>
      <c r="AA767" s="143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78"/>
      <c r="BD767" s="78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  <c r="BS767" s="62"/>
      <c r="BT767" s="62"/>
      <c r="BU767" s="62"/>
      <c r="BV767" s="62"/>
      <c r="BW767" s="62"/>
      <c r="BX767" s="62"/>
      <c r="BY767" s="62"/>
      <c r="BZ767" s="62"/>
      <c r="CA767" s="62"/>
      <c r="CB767" s="62"/>
    </row>
    <row r="768" ht="15.75" customHeight="1">
      <c r="A768" s="62"/>
      <c r="B768" s="79"/>
      <c r="C768" s="62"/>
      <c r="D768" s="62"/>
      <c r="E768" s="74"/>
      <c r="F768" s="62"/>
      <c r="G768" s="62"/>
      <c r="H768" s="62"/>
      <c r="I768" s="79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143"/>
      <c r="V768" s="143"/>
      <c r="W768" s="143"/>
      <c r="X768" s="62"/>
      <c r="Y768" s="62"/>
      <c r="Z768" s="143"/>
      <c r="AA768" s="143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78"/>
      <c r="BD768" s="78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  <c r="BS768" s="62"/>
      <c r="BT768" s="62"/>
      <c r="BU768" s="62"/>
      <c r="BV768" s="62"/>
      <c r="BW768" s="62"/>
      <c r="BX768" s="62"/>
      <c r="BY768" s="62"/>
      <c r="BZ768" s="62"/>
      <c r="CA768" s="62"/>
      <c r="CB768" s="62"/>
    </row>
    <row r="769" ht="15.75" customHeight="1">
      <c r="A769" s="62"/>
      <c r="B769" s="79"/>
      <c r="C769" s="62"/>
      <c r="D769" s="62"/>
      <c r="E769" s="74"/>
      <c r="F769" s="62"/>
      <c r="G769" s="62"/>
      <c r="H769" s="62"/>
      <c r="I769" s="79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143"/>
      <c r="V769" s="143"/>
      <c r="W769" s="143"/>
      <c r="X769" s="62"/>
      <c r="Y769" s="62"/>
      <c r="Z769" s="143"/>
      <c r="AA769" s="143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78"/>
      <c r="BD769" s="78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2"/>
      <c r="BS769" s="62"/>
      <c r="BT769" s="62"/>
      <c r="BU769" s="62"/>
      <c r="BV769" s="62"/>
      <c r="BW769" s="62"/>
      <c r="BX769" s="62"/>
      <c r="BY769" s="62"/>
      <c r="BZ769" s="62"/>
      <c r="CA769" s="62"/>
      <c r="CB769" s="62"/>
    </row>
    <row r="770" ht="15.75" customHeight="1">
      <c r="A770" s="62"/>
      <c r="B770" s="79"/>
      <c r="C770" s="62"/>
      <c r="D770" s="62"/>
      <c r="E770" s="74"/>
      <c r="F770" s="62"/>
      <c r="G770" s="62"/>
      <c r="H770" s="62"/>
      <c r="I770" s="79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143"/>
      <c r="V770" s="143"/>
      <c r="W770" s="143"/>
      <c r="X770" s="62"/>
      <c r="Y770" s="62"/>
      <c r="Z770" s="143"/>
      <c r="AA770" s="143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78"/>
      <c r="BD770" s="78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</row>
    <row r="771" ht="15.75" customHeight="1">
      <c r="A771" s="62"/>
      <c r="B771" s="79"/>
      <c r="C771" s="62"/>
      <c r="D771" s="62"/>
      <c r="E771" s="74"/>
      <c r="F771" s="62"/>
      <c r="G771" s="62"/>
      <c r="H771" s="62"/>
      <c r="I771" s="79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143"/>
      <c r="V771" s="143"/>
      <c r="W771" s="143"/>
      <c r="X771" s="62"/>
      <c r="Y771" s="62"/>
      <c r="Z771" s="143"/>
      <c r="AA771" s="143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78"/>
      <c r="BD771" s="78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</row>
    <row r="772" ht="15.75" customHeight="1">
      <c r="A772" s="62"/>
      <c r="B772" s="79"/>
      <c r="C772" s="62"/>
      <c r="D772" s="62"/>
      <c r="E772" s="74"/>
      <c r="F772" s="62"/>
      <c r="G772" s="62"/>
      <c r="H772" s="62"/>
      <c r="I772" s="79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143"/>
      <c r="V772" s="143"/>
      <c r="W772" s="143"/>
      <c r="X772" s="62"/>
      <c r="Y772" s="62"/>
      <c r="Z772" s="143"/>
      <c r="AA772" s="143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78"/>
      <c r="BD772" s="78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</row>
    <row r="773" ht="15.75" customHeight="1">
      <c r="A773" s="62"/>
      <c r="B773" s="79"/>
      <c r="C773" s="62"/>
      <c r="D773" s="62"/>
      <c r="E773" s="74"/>
      <c r="F773" s="62"/>
      <c r="G773" s="62"/>
      <c r="H773" s="62"/>
      <c r="I773" s="79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143"/>
      <c r="V773" s="143"/>
      <c r="W773" s="143"/>
      <c r="X773" s="62"/>
      <c r="Y773" s="62"/>
      <c r="Z773" s="143"/>
      <c r="AA773" s="143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78"/>
      <c r="BD773" s="78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</row>
    <row r="774" ht="15.75" customHeight="1">
      <c r="A774" s="62"/>
      <c r="B774" s="79"/>
      <c r="C774" s="62"/>
      <c r="D774" s="62"/>
      <c r="E774" s="74"/>
      <c r="F774" s="62"/>
      <c r="G774" s="62"/>
      <c r="H774" s="62"/>
      <c r="I774" s="79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143"/>
      <c r="V774" s="143"/>
      <c r="W774" s="143"/>
      <c r="X774" s="62"/>
      <c r="Y774" s="62"/>
      <c r="Z774" s="143"/>
      <c r="AA774" s="143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78"/>
      <c r="BD774" s="78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</row>
    <row r="775" ht="15.75" customHeight="1">
      <c r="A775" s="62"/>
      <c r="B775" s="79"/>
      <c r="C775" s="62"/>
      <c r="D775" s="62"/>
      <c r="E775" s="74"/>
      <c r="F775" s="62"/>
      <c r="G775" s="62"/>
      <c r="H775" s="62"/>
      <c r="I775" s="79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143"/>
      <c r="V775" s="143"/>
      <c r="W775" s="143"/>
      <c r="X775" s="62"/>
      <c r="Y775" s="62"/>
      <c r="Z775" s="143"/>
      <c r="AA775" s="143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78"/>
      <c r="BD775" s="78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</row>
    <row r="776" ht="15.75" customHeight="1">
      <c r="A776" s="62"/>
      <c r="B776" s="79"/>
      <c r="C776" s="62"/>
      <c r="D776" s="62"/>
      <c r="E776" s="74"/>
      <c r="F776" s="62"/>
      <c r="G776" s="62"/>
      <c r="H776" s="62"/>
      <c r="I776" s="79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143"/>
      <c r="V776" s="143"/>
      <c r="W776" s="143"/>
      <c r="X776" s="62"/>
      <c r="Y776" s="62"/>
      <c r="Z776" s="143"/>
      <c r="AA776" s="143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78"/>
      <c r="BD776" s="78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</row>
    <row r="777" ht="15.75" customHeight="1">
      <c r="A777" s="62"/>
      <c r="B777" s="79"/>
      <c r="C777" s="62"/>
      <c r="D777" s="62"/>
      <c r="E777" s="74"/>
      <c r="F777" s="62"/>
      <c r="G777" s="62"/>
      <c r="H777" s="62"/>
      <c r="I777" s="79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143"/>
      <c r="V777" s="143"/>
      <c r="W777" s="143"/>
      <c r="X777" s="62"/>
      <c r="Y777" s="62"/>
      <c r="Z777" s="143"/>
      <c r="AA777" s="143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78"/>
      <c r="BD777" s="78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</row>
    <row r="778" ht="15.75" customHeight="1">
      <c r="A778" s="62"/>
      <c r="B778" s="79"/>
      <c r="C778" s="62"/>
      <c r="D778" s="62"/>
      <c r="E778" s="74"/>
      <c r="F778" s="62"/>
      <c r="G778" s="62"/>
      <c r="H778" s="62"/>
      <c r="I778" s="79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143"/>
      <c r="V778" s="143"/>
      <c r="W778" s="143"/>
      <c r="X778" s="62"/>
      <c r="Y778" s="62"/>
      <c r="Z778" s="143"/>
      <c r="AA778" s="143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78"/>
      <c r="BD778" s="78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</row>
    <row r="779" ht="15.75" customHeight="1">
      <c r="A779" s="62"/>
      <c r="B779" s="79"/>
      <c r="C779" s="62"/>
      <c r="D779" s="62"/>
      <c r="E779" s="74"/>
      <c r="F779" s="62"/>
      <c r="G779" s="62"/>
      <c r="H779" s="62"/>
      <c r="I779" s="79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143"/>
      <c r="V779" s="143"/>
      <c r="W779" s="143"/>
      <c r="X779" s="62"/>
      <c r="Y779" s="62"/>
      <c r="Z779" s="143"/>
      <c r="AA779" s="143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78"/>
      <c r="BD779" s="78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</row>
    <row r="780" ht="15.75" customHeight="1">
      <c r="A780" s="62"/>
      <c r="B780" s="79"/>
      <c r="C780" s="62"/>
      <c r="D780" s="62"/>
      <c r="E780" s="74"/>
      <c r="F780" s="62"/>
      <c r="G780" s="62"/>
      <c r="H780" s="62"/>
      <c r="I780" s="79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143"/>
      <c r="V780" s="143"/>
      <c r="W780" s="143"/>
      <c r="X780" s="62"/>
      <c r="Y780" s="62"/>
      <c r="Z780" s="143"/>
      <c r="AA780" s="143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78"/>
      <c r="BD780" s="78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62"/>
      <c r="BS780" s="62"/>
      <c r="BT780" s="62"/>
      <c r="BU780" s="62"/>
      <c r="BV780" s="62"/>
      <c r="BW780" s="62"/>
      <c r="BX780" s="62"/>
      <c r="BY780" s="62"/>
      <c r="BZ780" s="62"/>
      <c r="CA780" s="62"/>
      <c r="CB780" s="62"/>
    </row>
    <row r="781" ht="15.75" customHeight="1">
      <c r="A781" s="62"/>
      <c r="B781" s="79"/>
      <c r="C781" s="62"/>
      <c r="D781" s="62"/>
      <c r="E781" s="74"/>
      <c r="F781" s="62"/>
      <c r="G781" s="62"/>
      <c r="H781" s="62"/>
      <c r="I781" s="79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143"/>
      <c r="V781" s="143"/>
      <c r="W781" s="143"/>
      <c r="X781" s="62"/>
      <c r="Y781" s="62"/>
      <c r="Z781" s="143"/>
      <c r="AA781" s="143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78"/>
      <c r="BD781" s="78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62"/>
      <c r="BS781" s="62"/>
      <c r="BT781" s="62"/>
      <c r="BU781" s="62"/>
      <c r="BV781" s="62"/>
      <c r="BW781" s="62"/>
      <c r="BX781" s="62"/>
      <c r="BY781" s="62"/>
      <c r="BZ781" s="62"/>
      <c r="CA781" s="62"/>
      <c r="CB781" s="62"/>
    </row>
    <row r="782" ht="15.75" customHeight="1">
      <c r="A782" s="62"/>
      <c r="B782" s="79"/>
      <c r="C782" s="62"/>
      <c r="D782" s="62"/>
      <c r="E782" s="74"/>
      <c r="F782" s="62"/>
      <c r="G782" s="62"/>
      <c r="H782" s="62"/>
      <c r="I782" s="79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143"/>
      <c r="V782" s="143"/>
      <c r="W782" s="143"/>
      <c r="X782" s="62"/>
      <c r="Y782" s="62"/>
      <c r="Z782" s="143"/>
      <c r="AA782" s="143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78"/>
      <c r="BD782" s="78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2"/>
      <c r="CA782" s="62"/>
      <c r="CB782" s="62"/>
    </row>
    <row r="783" ht="15.75" customHeight="1">
      <c r="A783" s="62"/>
      <c r="B783" s="79"/>
      <c r="C783" s="62"/>
      <c r="D783" s="62"/>
      <c r="E783" s="74"/>
      <c r="F783" s="62"/>
      <c r="G783" s="62"/>
      <c r="H783" s="62"/>
      <c r="I783" s="79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143"/>
      <c r="V783" s="143"/>
      <c r="W783" s="143"/>
      <c r="X783" s="62"/>
      <c r="Y783" s="62"/>
      <c r="Z783" s="143"/>
      <c r="AA783" s="143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78"/>
      <c r="BD783" s="78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  <c r="BS783" s="62"/>
      <c r="BT783" s="62"/>
      <c r="BU783" s="62"/>
      <c r="BV783" s="62"/>
      <c r="BW783" s="62"/>
      <c r="BX783" s="62"/>
      <c r="BY783" s="62"/>
      <c r="BZ783" s="62"/>
      <c r="CA783" s="62"/>
      <c r="CB783" s="62"/>
    </row>
    <row r="784" ht="15.75" customHeight="1">
      <c r="A784" s="62"/>
      <c r="B784" s="79"/>
      <c r="C784" s="62"/>
      <c r="D784" s="62"/>
      <c r="E784" s="74"/>
      <c r="F784" s="62"/>
      <c r="G784" s="62"/>
      <c r="H784" s="62"/>
      <c r="I784" s="79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143"/>
      <c r="V784" s="143"/>
      <c r="W784" s="143"/>
      <c r="X784" s="62"/>
      <c r="Y784" s="62"/>
      <c r="Z784" s="143"/>
      <c r="AA784" s="143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78"/>
      <c r="BD784" s="78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62"/>
      <c r="BS784" s="62"/>
      <c r="BT784" s="62"/>
      <c r="BU784" s="62"/>
      <c r="BV784" s="62"/>
      <c r="BW784" s="62"/>
      <c r="BX784" s="62"/>
      <c r="BY784" s="62"/>
      <c r="BZ784" s="62"/>
      <c r="CA784" s="62"/>
      <c r="CB784" s="62"/>
    </row>
    <row r="785" ht="15.75" customHeight="1">
      <c r="A785" s="62"/>
      <c r="B785" s="79"/>
      <c r="C785" s="62"/>
      <c r="D785" s="62"/>
      <c r="E785" s="74"/>
      <c r="F785" s="62"/>
      <c r="G785" s="62"/>
      <c r="H785" s="62"/>
      <c r="I785" s="79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143"/>
      <c r="V785" s="143"/>
      <c r="W785" s="143"/>
      <c r="X785" s="62"/>
      <c r="Y785" s="62"/>
      <c r="Z785" s="143"/>
      <c r="AA785" s="143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78"/>
      <c r="BD785" s="78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62"/>
      <c r="BS785" s="62"/>
      <c r="BT785" s="62"/>
      <c r="BU785" s="62"/>
      <c r="BV785" s="62"/>
      <c r="BW785" s="62"/>
      <c r="BX785" s="62"/>
      <c r="BY785" s="62"/>
      <c r="BZ785" s="62"/>
      <c r="CA785" s="62"/>
      <c r="CB785" s="62"/>
    </row>
    <row r="786" ht="15.75" customHeight="1">
      <c r="A786" s="62"/>
      <c r="B786" s="79"/>
      <c r="C786" s="62"/>
      <c r="D786" s="62"/>
      <c r="E786" s="74"/>
      <c r="F786" s="62"/>
      <c r="G786" s="62"/>
      <c r="H786" s="62"/>
      <c r="I786" s="79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143"/>
      <c r="V786" s="143"/>
      <c r="W786" s="143"/>
      <c r="X786" s="62"/>
      <c r="Y786" s="62"/>
      <c r="Z786" s="143"/>
      <c r="AA786" s="143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78"/>
      <c r="BD786" s="78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62"/>
      <c r="BS786" s="62"/>
      <c r="BT786" s="62"/>
      <c r="BU786" s="62"/>
      <c r="BV786" s="62"/>
      <c r="BW786" s="62"/>
      <c r="BX786" s="62"/>
      <c r="BY786" s="62"/>
      <c r="BZ786" s="62"/>
      <c r="CA786" s="62"/>
      <c r="CB786" s="62"/>
    </row>
    <row r="787" ht="15.75" customHeight="1">
      <c r="A787" s="62"/>
      <c r="B787" s="79"/>
      <c r="C787" s="62"/>
      <c r="D787" s="62"/>
      <c r="E787" s="74"/>
      <c r="F787" s="62"/>
      <c r="G787" s="62"/>
      <c r="H787" s="62"/>
      <c r="I787" s="79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143"/>
      <c r="V787" s="143"/>
      <c r="W787" s="143"/>
      <c r="X787" s="62"/>
      <c r="Y787" s="62"/>
      <c r="Z787" s="143"/>
      <c r="AA787" s="143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78"/>
      <c r="BD787" s="78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  <c r="BS787" s="62"/>
      <c r="BT787" s="62"/>
      <c r="BU787" s="62"/>
      <c r="BV787" s="62"/>
      <c r="BW787" s="62"/>
      <c r="BX787" s="62"/>
      <c r="BY787" s="62"/>
      <c r="BZ787" s="62"/>
      <c r="CA787" s="62"/>
      <c r="CB787" s="62"/>
    </row>
    <row r="788" ht="15.75" customHeight="1">
      <c r="A788" s="62"/>
      <c r="B788" s="79"/>
      <c r="C788" s="62"/>
      <c r="D788" s="62"/>
      <c r="E788" s="74"/>
      <c r="F788" s="62"/>
      <c r="G788" s="62"/>
      <c r="H788" s="62"/>
      <c r="I788" s="79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143"/>
      <c r="V788" s="143"/>
      <c r="W788" s="143"/>
      <c r="X788" s="62"/>
      <c r="Y788" s="62"/>
      <c r="Z788" s="143"/>
      <c r="AA788" s="143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78"/>
      <c r="BD788" s="78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  <c r="BS788" s="62"/>
      <c r="BT788" s="62"/>
      <c r="BU788" s="62"/>
      <c r="BV788" s="62"/>
      <c r="BW788" s="62"/>
      <c r="BX788" s="62"/>
      <c r="BY788" s="62"/>
      <c r="BZ788" s="62"/>
      <c r="CA788" s="62"/>
      <c r="CB788" s="62"/>
    </row>
    <row r="789" ht="15.75" customHeight="1">
      <c r="A789" s="62"/>
      <c r="B789" s="79"/>
      <c r="C789" s="62"/>
      <c r="D789" s="62"/>
      <c r="E789" s="74"/>
      <c r="F789" s="62"/>
      <c r="G789" s="62"/>
      <c r="H789" s="62"/>
      <c r="I789" s="79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143"/>
      <c r="V789" s="143"/>
      <c r="W789" s="143"/>
      <c r="X789" s="62"/>
      <c r="Y789" s="62"/>
      <c r="Z789" s="143"/>
      <c r="AA789" s="143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78"/>
      <c r="BD789" s="78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62"/>
      <c r="BS789" s="62"/>
      <c r="BT789" s="62"/>
      <c r="BU789" s="62"/>
      <c r="BV789" s="62"/>
      <c r="BW789" s="62"/>
      <c r="BX789" s="62"/>
      <c r="BY789" s="62"/>
      <c r="BZ789" s="62"/>
      <c r="CA789" s="62"/>
      <c r="CB789" s="62"/>
    </row>
    <row r="790" ht="15.75" customHeight="1">
      <c r="A790" s="62"/>
      <c r="B790" s="79"/>
      <c r="C790" s="62"/>
      <c r="D790" s="62"/>
      <c r="E790" s="74"/>
      <c r="F790" s="62"/>
      <c r="G790" s="62"/>
      <c r="H790" s="62"/>
      <c r="I790" s="79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143"/>
      <c r="V790" s="143"/>
      <c r="W790" s="143"/>
      <c r="X790" s="62"/>
      <c r="Y790" s="62"/>
      <c r="Z790" s="143"/>
      <c r="AA790" s="143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78"/>
      <c r="BD790" s="78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62"/>
      <c r="BS790" s="62"/>
      <c r="BT790" s="62"/>
      <c r="BU790" s="62"/>
      <c r="BV790" s="62"/>
      <c r="BW790" s="62"/>
      <c r="BX790" s="62"/>
      <c r="BY790" s="62"/>
      <c r="BZ790" s="62"/>
      <c r="CA790" s="62"/>
      <c r="CB790" s="62"/>
    </row>
    <row r="791" ht="15.75" customHeight="1">
      <c r="A791" s="62"/>
      <c r="B791" s="79"/>
      <c r="C791" s="62"/>
      <c r="D791" s="62"/>
      <c r="E791" s="74"/>
      <c r="F791" s="62"/>
      <c r="G791" s="62"/>
      <c r="H791" s="62"/>
      <c r="I791" s="79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143"/>
      <c r="V791" s="143"/>
      <c r="W791" s="143"/>
      <c r="X791" s="62"/>
      <c r="Y791" s="62"/>
      <c r="Z791" s="143"/>
      <c r="AA791" s="143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78"/>
      <c r="BD791" s="78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62"/>
      <c r="BS791" s="62"/>
      <c r="BT791" s="62"/>
      <c r="BU791" s="62"/>
      <c r="BV791" s="62"/>
      <c r="BW791" s="62"/>
      <c r="BX791" s="62"/>
      <c r="BY791" s="62"/>
      <c r="BZ791" s="62"/>
      <c r="CA791" s="62"/>
      <c r="CB791" s="62"/>
    </row>
    <row r="792" ht="15.75" customHeight="1">
      <c r="A792" s="62"/>
      <c r="B792" s="79"/>
      <c r="C792" s="62"/>
      <c r="D792" s="62"/>
      <c r="E792" s="74"/>
      <c r="F792" s="62"/>
      <c r="G792" s="62"/>
      <c r="H792" s="62"/>
      <c r="I792" s="79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143"/>
      <c r="V792" s="143"/>
      <c r="W792" s="143"/>
      <c r="X792" s="62"/>
      <c r="Y792" s="62"/>
      <c r="Z792" s="143"/>
      <c r="AA792" s="143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78"/>
      <c r="BD792" s="78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  <c r="BS792" s="62"/>
      <c r="BT792" s="62"/>
      <c r="BU792" s="62"/>
      <c r="BV792" s="62"/>
      <c r="BW792" s="62"/>
      <c r="BX792" s="62"/>
      <c r="BY792" s="62"/>
      <c r="BZ792" s="62"/>
      <c r="CA792" s="62"/>
      <c r="CB792" s="62"/>
    </row>
    <row r="793" ht="15.75" customHeight="1">
      <c r="A793" s="62"/>
      <c r="B793" s="79"/>
      <c r="C793" s="62"/>
      <c r="D793" s="62"/>
      <c r="E793" s="74"/>
      <c r="F793" s="62"/>
      <c r="G793" s="62"/>
      <c r="H793" s="62"/>
      <c r="I793" s="79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143"/>
      <c r="V793" s="143"/>
      <c r="W793" s="143"/>
      <c r="X793" s="62"/>
      <c r="Y793" s="62"/>
      <c r="Z793" s="143"/>
      <c r="AA793" s="143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78"/>
      <c r="BD793" s="78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  <c r="BS793" s="62"/>
      <c r="BT793" s="62"/>
      <c r="BU793" s="62"/>
      <c r="BV793" s="62"/>
      <c r="BW793" s="62"/>
      <c r="BX793" s="62"/>
      <c r="BY793" s="62"/>
      <c r="BZ793" s="62"/>
      <c r="CA793" s="62"/>
      <c r="CB793" s="62"/>
    </row>
    <row r="794" ht="15.75" customHeight="1">
      <c r="A794" s="62"/>
      <c r="B794" s="79"/>
      <c r="C794" s="62"/>
      <c r="D794" s="62"/>
      <c r="E794" s="74"/>
      <c r="F794" s="62"/>
      <c r="G794" s="62"/>
      <c r="H794" s="62"/>
      <c r="I794" s="79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143"/>
      <c r="V794" s="143"/>
      <c r="W794" s="143"/>
      <c r="X794" s="62"/>
      <c r="Y794" s="62"/>
      <c r="Z794" s="143"/>
      <c r="AA794" s="143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78"/>
      <c r="BD794" s="78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62"/>
      <c r="BS794" s="62"/>
      <c r="BT794" s="62"/>
      <c r="BU794" s="62"/>
      <c r="BV794" s="62"/>
      <c r="BW794" s="62"/>
      <c r="BX794" s="62"/>
      <c r="BY794" s="62"/>
      <c r="BZ794" s="62"/>
      <c r="CA794" s="62"/>
      <c r="CB794" s="62"/>
    </row>
    <row r="795" ht="15.75" customHeight="1">
      <c r="A795" s="62"/>
      <c r="B795" s="79"/>
      <c r="C795" s="62"/>
      <c r="D795" s="62"/>
      <c r="E795" s="74"/>
      <c r="F795" s="62"/>
      <c r="G795" s="62"/>
      <c r="H795" s="62"/>
      <c r="I795" s="79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143"/>
      <c r="V795" s="143"/>
      <c r="W795" s="143"/>
      <c r="X795" s="62"/>
      <c r="Y795" s="62"/>
      <c r="Z795" s="143"/>
      <c r="AA795" s="143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78"/>
      <c r="BD795" s="78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62"/>
      <c r="BS795" s="62"/>
      <c r="BT795" s="62"/>
      <c r="BU795" s="62"/>
      <c r="BV795" s="62"/>
      <c r="BW795" s="62"/>
      <c r="BX795" s="62"/>
      <c r="BY795" s="62"/>
      <c r="BZ795" s="62"/>
      <c r="CA795" s="62"/>
      <c r="CB795" s="62"/>
    </row>
    <row r="796" ht="15.75" customHeight="1">
      <c r="A796" s="62"/>
      <c r="B796" s="79"/>
      <c r="C796" s="62"/>
      <c r="D796" s="62"/>
      <c r="E796" s="74"/>
      <c r="F796" s="62"/>
      <c r="G796" s="62"/>
      <c r="H796" s="62"/>
      <c r="I796" s="79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143"/>
      <c r="V796" s="143"/>
      <c r="W796" s="143"/>
      <c r="X796" s="62"/>
      <c r="Y796" s="62"/>
      <c r="Z796" s="143"/>
      <c r="AA796" s="143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78"/>
      <c r="BD796" s="78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62"/>
      <c r="BS796" s="62"/>
      <c r="BT796" s="62"/>
      <c r="BU796" s="62"/>
      <c r="BV796" s="62"/>
      <c r="BW796" s="62"/>
      <c r="BX796" s="62"/>
      <c r="BY796" s="62"/>
      <c r="BZ796" s="62"/>
      <c r="CA796" s="62"/>
      <c r="CB796" s="62"/>
    </row>
    <row r="797" ht="15.75" customHeight="1">
      <c r="A797" s="62"/>
      <c r="B797" s="79"/>
      <c r="C797" s="62"/>
      <c r="D797" s="62"/>
      <c r="E797" s="74"/>
      <c r="F797" s="62"/>
      <c r="G797" s="62"/>
      <c r="H797" s="62"/>
      <c r="I797" s="79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143"/>
      <c r="V797" s="143"/>
      <c r="W797" s="143"/>
      <c r="X797" s="62"/>
      <c r="Y797" s="62"/>
      <c r="Z797" s="143"/>
      <c r="AA797" s="143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78"/>
      <c r="BD797" s="78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  <c r="BS797" s="62"/>
      <c r="BT797" s="62"/>
      <c r="BU797" s="62"/>
      <c r="BV797" s="62"/>
      <c r="BW797" s="62"/>
      <c r="BX797" s="62"/>
      <c r="BY797" s="62"/>
      <c r="BZ797" s="62"/>
      <c r="CA797" s="62"/>
      <c r="CB797" s="62"/>
    </row>
    <row r="798" ht="15.75" customHeight="1">
      <c r="A798" s="62"/>
      <c r="B798" s="79"/>
      <c r="C798" s="62"/>
      <c r="D798" s="62"/>
      <c r="E798" s="74"/>
      <c r="F798" s="62"/>
      <c r="G798" s="62"/>
      <c r="H798" s="62"/>
      <c r="I798" s="79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143"/>
      <c r="V798" s="143"/>
      <c r="W798" s="143"/>
      <c r="X798" s="62"/>
      <c r="Y798" s="62"/>
      <c r="Z798" s="143"/>
      <c r="AA798" s="143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78"/>
      <c r="BD798" s="78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  <c r="BS798" s="62"/>
      <c r="BT798" s="62"/>
      <c r="BU798" s="62"/>
      <c r="BV798" s="62"/>
      <c r="BW798" s="62"/>
      <c r="BX798" s="62"/>
      <c r="BY798" s="62"/>
      <c r="BZ798" s="62"/>
      <c r="CA798" s="62"/>
      <c r="CB798" s="62"/>
    </row>
    <row r="799" ht="15.75" customHeight="1">
      <c r="A799" s="62"/>
      <c r="B799" s="79"/>
      <c r="C799" s="62"/>
      <c r="D799" s="62"/>
      <c r="E799" s="74"/>
      <c r="F799" s="62"/>
      <c r="G799" s="62"/>
      <c r="H799" s="62"/>
      <c r="I799" s="79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143"/>
      <c r="V799" s="143"/>
      <c r="W799" s="143"/>
      <c r="X799" s="62"/>
      <c r="Y799" s="62"/>
      <c r="Z799" s="143"/>
      <c r="AA799" s="143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78"/>
      <c r="BD799" s="78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62"/>
      <c r="BS799" s="62"/>
      <c r="BT799" s="62"/>
      <c r="BU799" s="62"/>
      <c r="BV799" s="62"/>
      <c r="BW799" s="62"/>
      <c r="BX799" s="62"/>
      <c r="BY799" s="62"/>
      <c r="BZ799" s="62"/>
      <c r="CA799" s="62"/>
      <c r="CB799" s="62"/>
    </row>
    <row r="800" ht="15.75" customHeight="1">
      <c r="A800" s="62"/>
      <c r="B800" s="79"/>
      <c r="C800" s="62"/>
      <c r="D800" s="62"/>
      <c r="E800" s="74"/>
      <c r="F800" s="62"/>
      <c r="G800" s="62"/>
      <c r="H800" s="62"/>
      <c r="I800" s="79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143"/>
      <c r="V800" s="143"/>
      <c r="W800" s="143"/>
      <c r="X800" s="62"/>
      <c r="Y800" s="62"/>
      <c r="Z800" s="143"/>
      <c r="AA800" s="143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78"/>
      <c r="BD800" s="78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62"/>
      <c r="BS800" s="62"/>
      <c r="BT800" s="62"/>
      <c r="BU800" s="62"/>
      <c r="BV800" s="62"/>
      <c r="BW800" s="62"/>
      <c r="BX800" s="62"/>
      <c r="BY800" s="62"/>
      <c r="BZ800" s="62"/>
      <c r="CA800" s="62"/>
      <c r="CB800" s="62"/>
    </row>
    <row r="801" ht="15.75" customHeight="1">
      <c r="A801" s="62"/>
      <c r="B801" s="79"/>
      <c r="C801" s="62"/>
      <c r="D801" s="62"/>
      <c r="E801" s="74"/>
      <c r="F801" s="62"/>
      <c r="G801" s="62"/>
      <c r="H801" s="62"/>
      <c r="I801" s="79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143"/>
      <c r="V801" s="143"/>
      <c r="W801" s="143"/>
      <c r="X801" s="62"/>
      <c r="Y801" s="62"/>
      <c r="Z801" s="143"/>
      <c r="AA801" s="143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78"/>
      <c r="BD801" s="78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62"/>
      <c r="BS801" s="62"/>
      <c r="BT801" s="62"/>
      <c r="BU801" s="62"/>
      <c r="BV801" s="62"/>
      <c r="BW801" s="62"/>
      <c r="BX801" s="62"/>
      <c r="BY801" s="62"/>
      <c r="BZ801" s="62"/>
      <c r="CA801" s="62"/>
      <c r="CB801" s="62"/>
    </row>
    <row r="802" ht="15.75" customHeight="1">
      <c r="A802" s="62"/>
      <c r="B802" s="79"/>
      <c r="C802" s="62"/>
      <c r="D802" s="62"/>
      <c r="E802" s="74"/>
      <c r="F802" s="62"/>
      <c r="G802" s="62"/>
      <c r="H802" s="62"/>
      <c r="I802" s="79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143"/>
      <c r="V802" s="143"/>
      <c r="W802" s="143"/>
      <c r="X802" s="62"/>
      <c r="Y802" s="62"/>
      <c r="Z802" s="143"/>
      <c r="AA802" s="143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78"/>
      <c r="BD802" s="78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  <c r="BS802" s="62"/>
      <c r="BT802" s="62"/>
      <c r="BU802" s="62"/>
      <c r="BV802" s="62"/>
      <c r="BW802" s="62"/>
      <c r="BX802" s="62"/>
      <c r="BY802" s="62"/>
      <c r="BZ802" s="62"/>
      <c r="CA802" s="62"/>
      <c r="CB802" s="62"/>
    </row>
    <row r="803" ht="15.75" customHeight="1">
      <c r="A803" s="62"/>
      <c r="B803" s="79"/>
      <c r="C803" s="62"/>
      <c r="D803" s="62"/>
      <c r="E803" s="74"/>
      <c r="F803" s="62"/>
      <c r="G803" s="62"/>
      <c r="H803" s="62"/>
      <c r="I803" s="79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143"/>
      <c r="V803" s="143"/>
      <c r="W803" s="143"/>
      <c r="X803" s="62"/>
      <c r="Y803" s="62"/>
      <c r="Z803" s="143"/>
      <c r="AA803" s="143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78"/>
      <c r="BD803" s="78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  <c r="BS803" s="62"/>
      <c r="BT803" s="62"/>
      <c r="BU803" s="62"/>
      <c r="BV803" s="62"/>
      <c r="BW803" s="62"/>
      <c r="BX803" s="62"/>
      <c r="BY803" s="62"/>
      <c r="BZ803" s="62"/>
      <c r="CA803" s="62"/>
      <c r="CB803" s="62"/>
    </row>
    <row r="804" ht="15.75" customHeight="1">
      <c r="A804" s="62"/>
      <c r="B804" s="79"/>
      <c r="C804" s="62"/>
      <c r="D804" s="62"/>
      <c r="E804" s="74"/>
      <c r="F804" s="62"/>
      <c r="G804" s="62"/>
      <c r="H804" s="62"/>
      <c r="I804" s="79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143"/>
      <c r="V804" s="143"/>
      <c r="W804" s="143"/>
      <c r="X804" s="62"/>
      <c r="Y804" s="62"/>
      <c r="Z804" s="143"/>
      <c r="AA804" s="143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78"/>
      <c r="BD804" s="78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62"/>
      <c r="BS804" s="62"/>
      <c r="BT804" s="62"/>
      <c r="BU804" s="62"/>
      <c r="BV804" s="62"/>
      <c r="BW804" s="62"/>
      <c r="BX804" s="62"/>
      <c r="BY804" s="62"/>
      <c r="BZ804" s="62"/>
      <c r="CA804" s="62"/>
      <c r="CB804" s="62"/>
    </row>
    <row r="805" ht="15.75" customHeight="1">
      <c r="A805" s="62"/>
      <c r="B805" s="79"/>
      <c r="C805" s="62"/>
      <c r="D805" s="62"/>
      <c r="E805" s="74"/>
      <c r="F805" s="62"/>
      <c r="G805" s="62"/>
      <c r="H805" s="62"/>
      <c r="I805" s="79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143"/>
      <c r="V805" s="143"/>
      <c r="W805" s="143"/>
      <c r="X805" s="62"/>
      <c r="Y805" s="62"/>
      <c r="Z805" s="143"/>
      <c r="AA805" s="143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78"/>
      <c r="BD805" s="78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62"/>
      <c r="BS805" s="62"/>
      <c r="BT805" s="62"/>
      <c r="BU805" s="62"/>
      <c r="BV805" s="62"/>
      <c r="BW805" s="62"/>
      <c r="BX805" s="62"/>
      <c r="BY805" s="62"/>
      <c r="BZ805" s="62"/>
      <c r="CA805" s="62"/>
      <c r="CB805" s="62"/>
    </row>
    <row r="806" ht="15.75" customHeight="1">
      <c r="A806" s="62"/>
      <c r="B806" s="79"/>
      <c r="C806" s="62"/>
      <c r="D806" s="62"/>
      <c r="E806" s="74"/>
      <c r="F806" s="62"/>
      <c r="G806" s="62"/>
      <c r="H806" s="62"/>
      <c r="I806" s="79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143"/>
      <c r="V806" s="143"/>
      <c r="W806" s="143"/>
      <c r="X806" s="62"/>
      <c r="Y806" s="62"/>
      <c r="Z806" s="143"/>
      <c r="AA806" s="143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78"/>
      <c r="BD806" s="78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62"/>
      <c r="BS806" s="62"/>
      <c r="BT806" s="62"/>
      <c r="BU806" s="62"/>
      <c r="BV806" s="62"/>
      <c r="BW806" s="62"/>
      <c r="BX806" s="62"/>
      <c r="BY806" s="62"/>
      <c r="BZ806" s="62"/>
      <c r="CA806" s="62"/>
      <c r="CB806" s="62"/>
    </row>
    <row r="807" ht="15.75" customHeight="1">
      <c r="A807" s="62"/>
      <c r="B807" s="79"/>
      <c r="C807" s="62"/>
      <c r="D807" s="62"/>
      <c r="E807" s="74"/>
      <c r="F807" s="62"/>
      <c r="G807" s="62"/>
      <c r="H807" s="62"/>
      <c r="I807" s="79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143"/>
      <c r="V807" s="143"/>
      <c r="W807" s="143"/>
      <c r="X807" s="62"/>
      <c r="Y807" s="62"/>
      <c r="Z807" s="143"/>
      <c r="AA807" s="143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78"/>
      <c r="BD807" s="78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  <c r="BS807" s="62"/>
      <c r="BT807" s="62"/>
      <c r="BU807" s="62"/>
      <c r="BV807" s="62"/>
      <c r="BW807" s="62"/>
      <c r="BX807" s="62"/>
      <c r="BY807" s="62"/>
      <c r="BZ807" s="62"/>
      <c r="CA807" s="62"/>
      <c r="CB807" s="62"/>
    </row>
    <row r="808" ht="15.75" customHeight="1">
      <c r="A808" s="62"/>
      <c r="B808" s="79"/>
      <c r="C808" s="62"/>
      <c r="D808" s="62"/>
      <c r="E808" s="74"/>
      <c r="F808" s="62"/>
      <c r="G808" s="62"/>
      <c r="H808" s="62"/>
      <c r="I808" s="79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143"/>
      <c r="V808" s="143"/>
      <c r="W808" s="143"/>
      <c r="X808" s="62"/>
      <c r="Y808" s="62"/>
      <c r="Z808" s="143"/>
      <c r="AA808" s="143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78"/>
      <c r="BD808" s="78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</row>
    <row r="809" ht="15.75" customHeight="1">
      <c r="A809" s="62"/>
      <c r="B809" s="79"/>
      <c r="C809" s="62"/>
      <c r="D809" s="62"/>
      <c r="E809" s="74"/>
      <c r="F809" s="62"/>
      <c r="G809" s="62"/>
      <c r="H809" s="62"/>
      <c r="I809" s="79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143"/>
      <c r="V809" s="143"/>
      <c r="W809" s="143"/>
      <c r="X809" s="62"/>
      <c r="Y809" s="62"/>
      <c r="Z809" s="143"/>
      <c r="AA809" s="143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78"/>
      <c r="BD809" s="78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</row>
    <row r="810" ht="15.75" customHeight="1">
      <c r="A810" s="62"/>
      <c r="B810" s="79"/>
      <c r="C810" s="62"/>
      <c r="D810" s="62"/>
      <c r="E810" s="74"/>
      <c r="F810" s="62"/>
      <c r="G810" s="62"/>
      <c r="H810" s="62"/>
      <c r="I810" s="79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143"/>
      <c r="V810" s="143"/>
      <c r="W810" s="143"/>
      <c r="X810" s="62"/>
      <c r="Y810" s="62"/>
      <c r="Z810" s="143"/>
      <c r="AA810" s="143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78"/>
      <c r="BD810" s="78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</row>
    <row r="811" ht="15.75" customHeight="1">
      <c r="A811" s="62"/>
      <c r="B811" s="79"/>
      <c r="C811" s="62"/>
      <c r="D811" s="62"/>
      <c r="E811" s="74"/>
      <c r="F811" s="62"/>
      <c r="G811" s="62"/>
      <c r="H811" s="62"/>
      <c r="I811" s="79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143"/>
      <c r="V811" s="143"/>
      <c r="W811" s="143"/>
      <c r="X811" s="62"/>
      <c r="Y811" s="62"/>
      <c r="Z811" s="143"/>
      <c r="AA811" s="143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78"/>
      <c r="BD811" s="78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</row>
    <row r="812" ht="15.75" customHeight="1">
      <c r="A812" s="62"/>
      <c r="B812" s="79"/>
      <c r="C812" s="62"/>
      <c r="D812" s="62"/>
      <c r="E812" s="74"/>
      <c r="F812" s="62"/>
      <c r="G812" s="62"/>
      <c r="H812" s="62"/>
      <c r="I812" s="79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143"/>
      <c r="V812" s="143"/>
      <c r="W812" s="143"/>
      <c r="X812" s="62"/>
      <c r="Y812" s="62"/>
      <c r="Z812" s="143"/>
      <c r="AA812" s="143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78"/>
      <c r="BD812" s="78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</row>
    <row r="813" ht="15.75" customHeight="1">
      <c r="A813" s="62"/>
      <c r="B813" s="79"/>
      <c r="C813" s="62"/>
      <c r="D813" s="62"/>
      <c r="E813" s="74"/>
      <c r="F813" s="62"/>
      <c r="G813" s="62"/>
      <c r="H813" s="62"/>
      <c r="I813" s="79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143"/>
      <c r="V813" s="143"/>
      <c r="W813" s="143"/>
      <c r="X813" s="62"/>
      <c r="Y813" s="62"/>
      <c r="Z813" s="143"/>
      <c r="AA813" s="143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78"/>
      <c r="BD813" s="78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</row>
    <row r="814" ht="15.75" customHeight="1">
      <c r="A814" s="62"/>
      <c r="B814" s="79"/>
      <c r="C814" s="62"/>
      <c r="D814" s="62"/>
      <c r="E814" s="74"/>
      <c r="F814" s="62"/>
      <c r="G814" s="62"/>
      <c r="H814" s="62"/>
      <c r="I814" s="79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143"/>
      <c r="V814" s="143"/>
      <c r="W814" s="143"/>
      <c r="X814" s="62"/>
      <c r="Y814" s="62"/>
      <c r="Z814" s="143"/>
      <c r="AA814" s="143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78"/>
      <c r="BD814" s="78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</row>
    <row r="815" ht="15.75" customHeight="1">
      <c r="A815" s="62"/>
      <c r="B815" s="79"/>
      <c r="C815" s="62"/>
      <c r="D815" s="62"/>
      <c r="E815" s="74"/>
      <c r="F815" s="62"/>
      <c r="G815" s="62"/>
      <c r="H815" s="62"/>
      <c r="I815" s="79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143"/>
      <c r="V815" s="143"/>
      <c r="W815" s="143"/>
      <c r="X815" s="62"/>
      <c r="Y815" s="62"/>
      <c r="Z815" s="143"/>
      <c r="AA815" s="143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78"/>
      <c r="BD815" s="78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</row>
    <row r="816" ht="15.75" customHeight="1">
      <c r="A816" s="62"/>
      <c r="B816" s="79"/>
      <c r="C816" s="62"/>
      <c r="D816" s="62"/>
      <c r="E816" s="74"/>
      <c r="F816" s="62"/>
      <c r="G816" s="62"/>
      <c r="H816" s="62"/>
      <c r="I816" s="79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143"/>
      <c r="V816" s="143"/>
      <c r="W816" s="143"/>
      <c r="X816" s="62"/>
      <c r="Y816" s="62"/>
      <c r="Z816" s="143"/>
      <c r="AA816" s="143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78"/>
      <c r="BD816" s="78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</row>
    <row r="817" ht="15.75" customHeight="1">
      <c r="A817" s="62"/>
      <c r="B817" s="79"/>
      <c r="C817" s="62"/>
      <c r="D817" s="62"/>
      <c r="E817" s="74"/>
      <c r="F817" s="62"/>
      <c r="G817" s="62"/>
      <c r="H817" s="62"/>
      <c r="I817" s="79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143"/>
      <c r="V817" s="143"/>
      <c r="W817" s="143"/>
      <c r="X817" s="62"/>
      <c r="Y817" s="62"/>
      <c r="Z817" s="143"/>
      <c r="AA817" s="143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78"/>
      <c r="BD817" s="78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</row>
    <row r="818" ht="15.75" customHeight="1">
      <c r="A818" s="62"/>
      <c r="B818" s="79"/>
      <c r="C818" s="62"/>
      <c r="D818" s="62"/>
      <c r="E818" s="74"/>
      <c r="F818" s="62"/>
      <c r="G818" s="62"/>
      <c r="H818" s="62"/>
      <c r="I818" s="79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143"/>
      <c r="V818" s="143"/>
      <c r="W818" s="143"/>
      <c r="X818" s="62"/>
      <c r="Y818" s="62"/>
      <c r="Z818" s="143"/>
      <c r="AA818" s="143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78"/>
      <c r="BD818" s="78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  <c r="BS818" s="62"/>
      <c r="BT818" s="62"/>
      <c r="BU818" s="62"/>
      <c r="BV818" s="62"/>
      <c r="BW818" s="62"/>
      <c r="BX818" s="62"/>
      <c r="BY818" s="62"/>
      <c r="BZ818" s="62"/>
      <c r="CA818" s="62"/>
      <c r="CB818" s="62"/>
    </row>
    <row r="819" ht="15.75" customHeight="1">
      <c r="A819" s="62"/>
      <c r="B819" s="79"/>
      <c r="C819" s="62"/>
      <c r="D819" s="62"/>
      <c r="E819" s="74"/>
      <c r="F819" s="62"/>
      <c r="G819" s="62"/>
      <c r="H819" s="62"/>
      <c r="I819" s="79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143"/>
      <c r="V819" s="143"/>
      <c r="W819" s="143"/>
      <c r="X819" s="62"/>
      <c r="Y819" s="62"/>
      <c r="Z819" s="143"/>
      <c r="AA819" s="143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78"/>
      <c r="BD819" s="78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62"/>
      <c r="BS819" s="62"/>
      <c r="BT819" s="62"/>
      <c r="BU819" s="62"/>
      <c r="BV819" s="62"/>
      <c r="BW819" s="62"/>
      <c r="BX819" s="62"/>
      <c r="BY819" s="62"/>
      <c r="BZ819" s="62"/>
      <c r="CA819" s="62"/>
      <c r="CB819" s="62"/>
    </row>
    <row r="820" ht="15.75" customHeight="1">
      <c r="A820" s="62"/>
      <c r="B820" s="79"/>
      <c r="C820" s="62"/>
      <c r="D820" s="62"/>
      <c r="E820" s="74"/>
      <c r="F820" s="62"/>
      <c r="G820" s="62"/>
      <c r="H820" s="62"/>
      <c r="I820" s="79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143"/>
      <c r="V820" s="143"/>
      <c r="W820" s="143"/>
      <c r="X820" s="62"/>
      <c r="Y820" s="62"/>
      <c r="Z820" s="143"/>
      <c r="AA820" s="143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78"/>
      <c r="BD820" s="78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62"/>
      <c r="BS820" s="62"/>
      <c r="BT820" s="62"/>
      <c r="BU820" s="62"/>
      <c r="BV820" s="62"/>
      <c r="BW820" s="62"/>
      <c r="BX820" s="62"/>
      <c r="BY820" s="62"/>
      <c r="BZ820" s="62"/>
      <c r="CA820" s="62"/>
      <c r="CB820" s="62"/>
    </row>
    <row r="821" ht="15.75" customHeight="1">
      <c r="A821" s="62"/>
      <c r="B821" s="79"/>
      <c r="C821" s="62"/>
      <c r="D821" s="62"/>
      <c r="E821" s="74"/>
      <c r="F821" s="62"/>
      <c r="G821" s="62"/>
      <c r="H821" s="62"/>
      <c r="I821" s="79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143"/>
      <c r="V821" s="143"/>
      <c r="W821" s="143"/>
      <c r="X821" s="62"/>
      <c r="Y821" s="62"/>
      <c r="Z821" s="143"/>
      <c r="AA821" s="143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78"/>
      <c r="BD821" s="78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62"/>
      <c r="BS821" s="62"/>
      <c r="BT821" s="62"/>
      <c r="BU821" s="62"/>
      <c r="BV821" s="62"/>
      <c r="BW821" s="62"/>
      <c r="BX821" s="62"/>
      <c r="BY821" s="62"/>
      <c r="BZ821" s="62"/>
      <c r="CA821" s="62"/>
      <c r="CB821" s="62"/>
    </row>
    <row r="822" ht="15.75" customHeight="1">
      <c r="A822" s="62"/>
      <c r="B822" s="79"/>
      <c r="C822" s="62"/>
      <c r="D822" s="62"/>
      <c r="E822" s="74"/>
      <c r="F822" s="62"/>
      <c r="G822" s="62"/>
      <c r="H822" s="62"/>
      <c r="I822" s="79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143"/>
      <c r="V822" s="143"/>
      <c r="W822" s="143"/>
      <c r="X822" s="62"/>
      <c r="Y822" s="62"/>
      <c r="Z822" s="143"/>
      <c r="AA822" s="143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78"/>
      <c r="BD822" s="78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2"/>
      <c r="CA822" s="62"/>
      <c r="CB822" s="62"/>
    </row>
    <row r="823" ht="15.75" customHeight="1">
      <c r="A823" s="62"/>
      <c r="B823" s="79"/>
      <c r="C823" s="62"/>
      <c r="D823" s="62"/>
      <c r="E823" s="74"/>
      <c r="F823" s="62"/>
      <c r="G823" s="62"/>
      <c r="H823" s="62"/>
      <c r="I823" s="79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143"/>
      <c r="V823" s="143"/>
      <c r="W823" s="143"/>
      <c r="X823" s="62"/>
      <c r="Y823" s="62"/>
      <c r="Z823" s="143"/>
      <c r="AA823" s="143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78"/>
      <c r="BD823" s="78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  <c r="BS823" s="62"/>
      <c r="BT823" s="62"/>
      <c r="BU823" s="62"/>
      <c r="BV823" s="62"/>
      <c r="BW823" s="62"/>
      <c r="BX823" s="62"/>
      <c r="BY823" s="62"/>
      <c r="BZ823" s="62"/>
      <c r="CA823" s="62"/>
      <c r="CB823" s="62"/>
    </row>
    <row r="824" ht="15.75" customHeight="1">
      <c r="A824" s="62"/>
      <c r="B824" s="79"/>
      <c r="C824" s="62"/>
      <c r="D824" s="62"/>
      <c r="E824" s="74"/>
      <c r="F824" s="62"/>
      <c r="G824" s="62"/>
      <c r="H824" s="62"/>
      <c r="I824" s="79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143"/>
      <c r="V824" s="143"/>
      <c r="W824" s="143"/>
      <c r="X824" s="62"/>
      <c r="Y824" s="62"/>
      <c r="Z824" s="143"/>
      <c r="AA824" s="143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78"/>
      <c r="BD824" s="78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62"/>
      <c r="BS824" s="62"/>
      <c r="BT824" s="62"/>
      <c r="BU824" s="62"/>
      <c r="BV824" s="62"/>
      <c r="BW824" s="62"/>
      <c r="BX824" s="62"/>
      <c r="BY824" s="62"/>
      <c r="BZ824" s="62"/>
      <c r="CA824" s="62"/>
      <c r="CB824" s="62"/>
    </row>
    <row r="825" ht="15.75" customHeight="1">
      <c r="A825" s="62"/>
      <c r="B825" s="79"/>
      <c r="C825" s="62"/>
      <c r="D825" s="62"/>
      <c r="E825" s="74"/>
      <c r="F825" s="62"/>
      <c r="G825" s="62"/>
      <c r="H825" s="62"/>
      <c r="I825" s="79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143"/>
      <c r="V825" s="143"/>
      <c r="W825" s="143"/>
      <c r="X825" s="62"/>
      <c r="Y825" s="62"/>
      <c r="Z825" s="143"/>
      <c r="AA825" s="143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78"/>
      <c r="BD825" s="78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62"/>
      <c r="BS825" s="62"/>
      <c r="BT825" s="62"/>
      <c r="BU825" s="62"/>
      <c r="BV825" s="62"/>
      <c r="BW825" s="62"/>
      <c r="BX825" s="62"/>
      <c r="BY825" s="62"/>
      <c r="BZ825" s="62"/>
      <c r="CA825" s="62"/>
      <c r="CB825" s="62"/>
    </row>
    <row r="826" ht="15.75" customHeight="1">
      <c r="A826" s="62"/>
      <c r="B826" s="79"/>
      <c r="C826" s="62"/>
      <c r="D826" s="62"/>
      <c r="E826" s="74"/>
      <c r="F826" s="62"/>
      <c r="G826" s="62"/>
      <c r="H826" s="62"/>
      <c r="I826" s="79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143"/>
      <c r="V826" s="143"/>
      <c r="W826" s="143"/>
      <c r="X826" s="62"/>
      <c r="Y826" s="62"/>
      <c r="Z826" s="143"/>
      <c r="AA826" s="143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78"/>
      <c r="BD826" s="78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62"/>
      <c r="BS826" s="62"/>
      <c r="BT826" s="62"/>
      <c r="BU826" s="62"/>
      <c r="BV826" s="62"/>
      <c r="BW826" s="62"/>
      <c r="BX826" s="62"/>
      <c r="BY826" s="62"/>
      <c r="BZ826" s="62"/>
      <c r="CA826" s="62"/>
      <c r="CB826" s="62"/>
    </row>
    <row r="827" ht="15.75" customHeight="1">
      <c r="A827" s="62"/>
      <c r="B827" s="79"/>
      <c r="C827" s="62"/>
      <c r="D827" s="62"/>
      <c r="E827" s="74"/>
      <c r="F827" s="62"/>
      <c r="G827" s="62"/>
      <c r="H827" s="62"/>
      <c r="I827" s="79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143"/>
      <c r="V827" s="143"/>
      <c r="W827" s="143"/>
      <c r="X827" s="62"/>
      <c r="Y827" s="62"/>
      <c r="Z827" s="143"/>
      <c r="AA827" s="143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78"/>
      <c r="BD827" s="78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  <c r="BS827" s="62"/>
      <c r="BT827" s="62"/>
      <c r="BU827" s="62"/>
      <c r="BV827" s="62"/>
      <c r="BW827" s="62"/>
      <c r="BX827" s="62"/>
      <c r="BY827" s="62"/>
      <c r="BZ827" s="62"/>
      <c r="CA827" s="62"/>
      <c r="CB827" s="62"/>
    </row>
    <row r="828" ht="15.75" customHeight="1">
      <c r="A828" s="62"/>
      <c r="B828" s="79"/>
      <c r="C828" s="62"/>
      <c r="D828" s="62"/>
      <c r="E828" s="74"/>
      <c r="F828" s="62"/>
      <c r="G828" s="62"/>
      <c r="H828" s="62"/>
      <c r="I828" s="79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143"/>
      <c r="V828" s="143"/>
      <c r="W828" s="143"/>
      <c r="X828" s="62"/>
      <c r="Y828" s="62"/>
      <c r="Z828" s="143"/>
      <c r="AA828" s="143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78"/>
      <c r="BD828" s="78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  <c r="BS828" s="62"/>
      <c r="BT828" s="62"/>
      <c r="BU828" s="62"/>
      <c r="BV828" s="62"/>
      <c r="BW828" s="62"/>
      <c r="BX828" s="62"/>
      <c r="BY828" s="62"/>
      <c r="BZ828" s="62"/>
      <c r="CA828" s="62"/>
      <c r="CB828" s="62"/>
    </row>
    <row r="829" ht="15.75" customHeight="1">
      <c r="A829" s="62"/>
      <c r="B829" s="79"/>
      <c r="C829" s="62"/>
      <c r="D829" s="62"/>
      <c r="E829" s="74"/>
      <c r="F829" s="62"/>
      <c r="G829" s="62"/>
      <c r="H829" s="62"/>
      <c r="I829" s="79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143"/>
      <c r="V829" s="143"/>
      <c r="W829" s="143"/>
      <c r="X829" s="62"/>
      <c r="Y829" s="62"/>
      <c r="Z829" s="143"/>
      <c r="AA829" s="143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78"/>
      <c r="BD829" s="78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62"/>
      <c r="BS829" s="62"/>
      <c r="BT829" s="62"/>
      <c r="BU829" s="62"/>
      <c r="BV829" s="62"/>
      <c r="BW829" s="62"/>
      <c r="BX829" s="62"/>
      <c r="BY829" s="62"/>
      <c r="BZ829" s="62"/>
      <c r="CA829" s="62"/>
      <c r="CB829" s="62"/>
    </row>
    <row r="830" ht="15.75" customHeight="1">
      <c r="A830" s="62"/>
      <c r="B830" s="79"/>
      <c r="C830" s="62"/>
      <c r="D830" s="62"/>
      <c r="E830" s="74"/>
      <c r="F830" s="62"/>
      <c r="G830" s="62"/>
      <c r="H830" s="62"/>
      <c r="I830" s="79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143"/>
      <c r="V830" s="143"/>
      <c r="W830" s="143"/>
      <c r="X830" s="62"/>
      <c r="Y830" s="62"/>
      <c r="Z830" s="143"/>
      <c r="AA830" s="143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78"/>
      <c r="BD830" s="78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62"/>
      <c r="BS830" s="62"/>
      <c r="BT830" s="62"/>
      <c r="BU830" s="62"/>
      <c r="BV830" s="62"/>
      <c r="BW830" s="62"/>
      <c r="BX830" s="62"/>
      <c r="BY830" s="62"/>
      <c r="BZ830" s="62"/>
      <c r="CA830" s="62"/>
      <c r="CB830" s="62"/>
    </row>
    <row r="831" ht="15.75" customHeight="1">
      <c r="A831" s="62"/>
      <c r="B831" s="79"/>
      <c r="C831" s="62"/>
      <c r="D831" s="62"/>
      <c r="E831" s="74"/>
      <c r="F831" s="62"/>
      <c r="G831" s="62"/>
      <c r="H831" s="62"/>
      <c r="I831" s="79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143"/>
      <c r="V831" s="143"/>
      <c r="W831" s="143"/>
      <c r="X831" s="62"/>
      <c r="Y831" s="62"/>
      <c r="Z831" s="143"/>
      <c r="AA831" s="143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78"/>
      <c r="BD831" s="78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62"/>
      <c r="BS831" s="62"/>
      <c r="BT831" s="62"/>
      <c r="BU831" s="62"/>
      <c r="BV831" s="62"/>
      <c r="BW831" s="62"/>
      <c r="BX831" s="62"/>
      <c r="BY831" s="62"/>
      <c r="BZ831" s="62"/>
      <c r="CA831" s="62"/>
      <c r="CB831" s="62"/>
    </row>
    <row r="832" ht="15.75" customHeight="1">
      <c r="A832" s="62"/>
      <c r="B832" s="79"/>
      <c r="C832" s="62"/>
      <c r="D832" s="62"/>
      <c r="E832" s="74"/>
      <c r="F832" s="62"/>
      <c r="G832" s="62"/>
      <c r="H832" s="62"/>
      <c r="I832" s="79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143"/>
      <c r="V832" s="143"/>
      <c r="W832" s="143"/>
      <c r="X832" s="62"/>
      <c r="Y832" s="62"/>
      <c r="Z832" s="143"/>
      <c r="AA832" s="143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78"/>
      <c r="BD832" s="78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  <c r="BS832" s="62"/>
      <c r="BT832" s="62"/>
      <c r="BU832" s="62"/>
      <c r="BV832" s="62"/>
      <c r="BW832" s="62"/>
      <c r="BX832" s="62"/>
      <c r="BY832" s="62"/>
      <c r="BZ832" s="62"/>
      <c r="CA832" s="62"/>
      <c r="CB832" s="62"/>
    </row>
    <row r="833" ht="15.75" customHeight="1">
      <c r="A833" s="62"/>
      <c r="B833" s="79"/>
      <c r="C833" s="62"/>
      <c r="D833" s="62"/>
      <c r="E833" s="74"/>
      <c r="F833" s="62"/>
      <c r="G833" s="62"/>
      <c r="H833" s="62"/>
      <c r="I833" s="79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143"/>
      <c r="V833" s="143"/>
      <c r="W833" s="143"/>
      <c r="X833" s="62"/>
      <c r="Y833" s="62"/>
      <c r="Z833" s="143"/>
      <c r="AA833" s="143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78"/>
      <c r="BD833" s="78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  <c r="BS833" s="62"/>
      <c r="BT833" s="62"/>
      <c r="BU833" s="62"/>
      <c r="BV833" s="62"/>
      <c r="BW833" s="62"/>
      <c r="BX833" s="62"/>
      <c r="BY833" s="62"/>
      <c r="BZ833" s="62"/>
      <c r="CA833" s="62"/>
      <c r="CB833" s="62"/>
    </row>
    <row r="834" ht="15.75" customHeight="1">
      <c r="A834" s="62"/>
      <c r="B834" s="79"/>
      <c r="C834" s="62"/>
      <c r="D834" s="62"/>
      <c r="E834" s="74"/>
      <c r="F834" s="62"/>
      <c r="G834" s="62"/>
      <c r="H834" s="62"/>
      <c r="I834" s="79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143"/>
      <c r="V834" s="143"/>
      <c r="W834" s="143"/>
      <c r="X834" s="62"/>
      <c r="Y834" s="62"/>
      <c r="Z834" s="143"/>
      <c r="AA834" s="143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78"/>
      <c r="BD834" s="78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62"/>
      <c r="BS834" s="62"/>
      <c r="BT834" s="62"/>
      <c r="BU834" s="62"/>
      <c r="BV834" s="62"/>
      <c r="BW834" s="62"/>
      <c r="BX834" s="62"/>
      <c r="BY834" s="62"/>
      <c r="BZ834" s="62"/>
      <c r="CA834" s="62"/>
      <c r="CB834" s="62"/>
    </row>
    <row r="835" ht="15.75" customHeight="1">
      <c r="A835" s="62"/>
      <c r="B835" s="79"/>
      <c r="C835" s="62"/>
      <c r="D835" s="62"/>
      <c r="E835" s="74"/>
      <c r="F835" s="62"/>
      <c r="G835" s="62"/>
      <c r="H835" s="62"/>
      <c r="I835" s="79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143"/>
      <c r="V835" s="143"/>
      <c r="W835" s="143"/>
      <c r="X835" s="62"/>
      <c r="Y835" s="62"/>
      <c r="Z835" s="143"/>
      <c r="AA835" s="143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78"/>
      <c r="BD835" s="78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62"/>
      <c r="BS835" s="62"/>
      <c r="BT835" s="62"/>
      <c r="BU835" s="62"/>
      <c r="BV835" s="62"/>
      <c r="BW835" s="62"/>
      <c r="BX835" s="62"/>
      <c r="BY835" s="62"/>
      <c r="BZ835" s="62"/>
      <c r="CA835" s="62"/>
      <c r="CB835" s="62"/>
    </row>
    <row r="836" ht="15.75" customHeight="1">
      <c r="A836" s="62"/>
      <c r="B836" s="79"/>
      <c r="C836" s="62"/>
      <c r="D836" s="62"/>
      <c r="E836" s="74"/>
      <c r="F836" s="62"/>
      <c r="G836" s="62"/>
      <c r="H836" s="62"/>
      <c r="I836" s="79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143"/>
      <c r="V836" s="143"/>
      <c r="W836" s="143"/>
      <c r="X836" s="62"/>
      <c r="Y836" s="62"/>
      <c r="Z836" s="143"/>
      <c r="AA836" s="143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78"/>
      <c r="BD836" s="78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62"/>
      <c r="BS836" s="62"/>
      <c r="BT836" s="62"/>
      <c r="BU836" s="62"/>
      <c r="BV836" s="62"/>
      <c r="BW836" s="62"/>
      <c r="BX836" s="62"/>
      <c r="BY836" s="62"/>
      <c r="BZ836" s="62"/>
      <c r="CA836" s="62"/>
      <c r="CB836" s="62"/>
    </row>
    <row r="837" ht="15.75" customHeight="1">
      <c r="A837" s="62"/>
      <c r="B837" s="79"/>
      <c r="C837" s="62"/>
      <c r="D837" s="62"/>
      <c r="E837" s="74"/>
      <c r="F837" s="62"/>
      <c r="G837" s="62"/>
      <c r="H837" s="62"/>
      <c r="I837" s="79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143"/>
      <c r="V837" s="143"/>
      <c r="W837" s="143"/>
      <c r="X837" s="62"/>
      <c r="Y837" s="62"/>
      <c r="Z837" s="143"/>
      <c r="AA837" s="143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78"/>
      <c r="BD837" s="78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  <c r="BS837" s="62"/>
      <c r="BT837" s="62"/>
      <c r="BU837" s="62"/>
      <c r="BV837" s="62"/>
      <c r="BW837" s="62"/>
      <c r="BX837" s="62"/>
      <c r="BY837" s="62"/>
      <c r="BZ837" s="62"/>
      <c r="CA837" s="62"/>
      <c r="CB837" s="62"/>
    </row>
    <row r="838" ht="15.75" customHeight="1">
      <c r="A838" s="62"/>
      <c r="B838" s="79"/>
      <c r="C838" s="62"/>
      <c r="D838" s="62"/>
      <c r="E838" s="74"/>
      <c r="F838" s="62"/>
      <c r="G838" s="62"/>
      <c r="H838" s="62"/>
      <c r="I838" s="79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143"/>
      <c r="V838" s="143"/>
      <c r="W838" s="143"/>
      <c r="X838" s="62"/>
      <c r="Y838" s="62"/>
      <c r="Z838" s="143"/>
      <c r="AA838" s="143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78"/>
      <c r="BD838" s="78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  <c r="BS838" s="62"/>
      <c r="BT838" s="62"/>
      <c r="BU838" s="62"/>
      <c r="BV838" s="62"/>
      <c r="BW838" s="62"/>
      <c r="BX838" s="62"/>
      <c r="BY838" s="62"/>
      <c r="BZ838" s="62"/>
      <c r="CA838" s="62"/>
      <c r="CB838" s="62"/>
    </row>
    <row r="839" ht="15.75" customHeight="1">
      <c r="A839" s="62"/>
      <c r="B839" s="79"/>
      <c r="C839" s="62"/>
      <c r="D839" s="62"/>
      <c r="E839" s="74"/>
      <c r="F839" s="62"/>
      <c r="G839" s="62"/>
      <c r="H839" s="62"/>
      <c r="I839" s="79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143"/>
      <c r="V839" s="143"/>
      <c r="W839" s="143"/>
      <c r="X839" s="62"/>
      <c r="Y839" s="62"/>
      <c r="Z839" s="143"/>
      <c r="AA839" s="143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78"/>
      <c r="BD839" s="78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62"/>
      <c r="BS839" s="62"/>
      <c r="BT839" s="62"/>
      <c r="BU839" s="62"/>
      <c r="BV839" s="62"/>
      <c r="BW839" s="62"/>
      <c r="BX839" s="62"/>
      <c r="BY839" s="62"/>
      <c r="BZ839" s="62"/>
      <c r="CA839" s="62"/>
      <c r="CB839" s="62"/>
    </row>
    <row r="840" ht="15.75" customHeight="1">
      <c r="A840" s="62"/>
      <c r="B840" s="79"/>
      <c r="C840" s="62"/>
      <c r="D840" s="62"/>
      <c r="E840" s="74"/>
      <c r="F840" s="62"/>
      <c r="G840" s="62"/>
      <c r="H840" s="62"/>
      <c r="I840" s="79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143"/>
      <c r="V840" s="143"/>
      <c r="W840" s="143"/>
      <c r="X840" s="62"/>
      <c r="Y840" s="62"/>
      <c r="Z840" s="143"/>
      <c r="AA840" s="143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78"/>
      <c r="BD840" s="78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62"/>
      <c r="BS840" s="62"/>
      <c r="BT840" s="62"/>
      <c r="BU840" s="62"/>
      <c r="BV840" s="62"/>
      <c r="BW840" s="62"/>
      <c r="BX840" s="62"/>
      <c r="BY840" s="62"/>
      <c r="BZ840" s="62"/>
      <c r="CA840" s="62"/>
      <c r="CB840" s="62"/>
    </row>
    <row r="841" ht="15.75" customHeight="1">
      <c r="A841" s="62"/>
      <c r="B841" s="79"/>
      <c r="C841" s="62"/>
      <c r="D841" s="62"/>
      <c r="E841" s="74"/>
      <c r="F841" s="62"/>
      <c r="G841" s="62"/>
      <c r="H841" s="62"/>
      <c r="I841" s="79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143"/>
      <c r="V841" s="143"/>
      <c r="W841" s="143"/>
      <c r="X841" s="62"/>
      <c r="Y841" s="62"/>
      <c r="Z841" s="143"/>
      <c r="AA841" s="143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78"/>
      <c r="BD841" s="78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62"/>
      <c r="BS841" s="62"/>
      <c r="BT841" s="62"/>
      <c r="BU841" s="62"/>
      <c r="BV841" s="62"/>
      <c r="BW841" s="62"/>
      <c r="BX841" s="62"/>
      <c r="BY841" s="62"/>
      <c r="BZ841" s="62"/>
      <c r="CA841" s="62"/>
      <c r="CB841" s="62"/>
    </row>
    <row r="842" ht="15.75" customHeight="1">
      <c r="A842" s="62"/>
      <c r="B842" s="79"/>
      <c r="C842" s="62"/>
      <c r="D842" s="62"/>
      <c r="E842" s="74"/>
      <c r="F842" s="62"/>
      <c r="G842" s="62"/>
      <c r="H842" s="62"/>
      <c r="I842" s="79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143"/>
      <c r="V842" s="143"/>
      <c r="W842" s="143"/>
      <c r="X842" s="62"/>
      <c r="Y842" s="62"/>
      <c r="Z842" s="143"/>
      <c r="AA842" s="143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78"/>
      <c r="BD842" s="78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  <c r="BS842" s="62"/>
      <c r="BT842" s="62"/>
      <c r="BU842" s="62"/>
      <c r="BV842" s="62"/>
      <c r="BW842" s="62"/>
      <c r="BX842" s="62"/>
      <c r="BY842" s="62"/>
      <c r="BZ842" s="62"/>
      <c r="CA842" s="62"/>
      <c r="CB842" s="62"/>
    </row>
    <row r="843" ht="15.75" customHeight="1">
      <c r="A843" s="62"/>
      <c r="B843" s="79"/>
      <c r="C843" s="62"/>
      <c r="D843" s="62"/>
      <c r="E843" s="74"/>
      <c r="F843" s="62"/>
      <c r="G843" s="62"/>
      <c r="H843" s="62"/>
      <c r="I843" s="79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143"/>
      <c r="V843" s="143"/>
      <c r="W843" s="143"/>
      <c r="X843" s="62"/>
      <c r="Y843" s="62"/>
      <c r="Z843" s="143"/>
      <c r="AA843" s="143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78"/>
      <c r="BD843" s="78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  <c r="BS843" s="62"/>
      <c r="BT843" s="62"/>
      <c r="BU843" s="62"/>
      <c r="BV843" s="62"/>
      <c r="BW843" s="62"/>
      <c r="BX843" s="62"/>
      <c r="BY843" s="62"/>
      <c r="BZ843" s="62"/>
      <c r="CA843" s="62"/>
      <c r="CB843" s="62"/>
    </row>
    <row r="844" ht="15.75" customHeight="1">
      <c r="A844" s="62"/>
      <c r="B844" s="79"/>
      <c r="C844" s="62"/>
      <c r="D844" s="62"/>
      <c r="E844" s="74"/>
      <c r="F844" s="62"/>
      <c r="G844" s="62"/>
      <c r="H844" s="62"/>
      <c r="I844" s="79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143"/>
      <c r="V844" s="143"/>
      <c r="W844" s="143"/>
      <c r="X844" s="62"/>
      <c r="Y844" s="62"/>
      <c r="Z844" s="143"/>
      <c r="AA844" s="143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78"/>
      <c r="BD844" s="78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62"/>
      <c r="BS844" s="62"/>
      <c r="BT844" s="62"/>
      <c r="BU844" s="62"/>
      <c r="BV844" s="62"/>
      <c r="BW844" s="62"/>
      <c r="BX844" s="62"/>
      <c r="BY844" s="62"/>
      <c r="BZ844" s="62"/>
      <c r="CA844" s="62"/>
      <c r="CB844" s="62"/>
    </row>
    <row r="845" ht="15.75" customHeight="1">
      <c r="A845" s="62"/>
      <c r="B845" s="79"/>
      <c r="C845" s="62"/>
      <c r="D845" s="62"/>
      <c r="E845" s="74"/>
      <c r="F845" s="62"/>
      <c r="G845" s="62"/>
      <c r="H845" s="62"/>
      <c r="I845" s="79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143"/>
      <c r="V845" s="143"/>
      <c r="W845" s="143"/>
      <c r="X845" s="62"/>
      <c r="Y845" s="62"/>
      <c r="Z845" s="143"/>
      <c r="AA845" s="143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78"/>
      <c r="BD845" s="78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62"/>
      <c r="BS845" s="62"/>
      <c r="BT845" s="62"/>
      <c r="BU845" s="62"/>
      <c r="BV845" s="62"/>
      <c r="BW845" s="62"/>
      <c r="BX845" s="62"/>
      <c r="BY845" s="62"/>
      <c r="BZ845" s="62"/>
      <c r="CA845" s="62"/>
      <c r="CB845" s="62"/>
    </row>
    <row r="846" ht="15.75" customHeight="1">
      <c r="A846" s="62"/>
      <c r="B846" s="79"/>
      <c r="C846" s="62"/>
      <c r="D846" s="62"/>
      <c r="E846" s="74"/>
      <c r="F846" s="62"/>
      <c r="G846" s="62"/>
      <c r="H846" s="62"/>
      <c r="I846" s="79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143"/>
      <c r="V846" s="143"/>
      <c r="W846" s="143"/>
      <c r="X846" s="62"/>
      <c r="Y846" s="62"/>
      <c r="Z846" s="143"/>
      <c r="AA846" s="143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78"/>
      <c r="BD846" s="78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</row>
    <row r="847" ht="15.75" customHeight="1">
      <c r="A847" s="62"/>
      <c r="B847" s="79"/>
      <c r="C847" s="62"/>
      <c r="D847" s="62"/>
      <c r="E847" s="74"/>
      <c r="F847" s="62"/>
      <c r="G847" s="62"/>
      <c r="H847" s="62"/>
      <c r="I847" s="79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143"/>
      <c r="V847" s="143"/>
      <c r="W847" s="143"/>
      <c r="X847" s="62"/>
      <c r="Y847" s="62"/>
      <c r="Z847" s="143"/>
      <c r="AA847" s="143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78"/>
      <c r="BD847" s="78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</row>
    <row r="848" ht="15.75" customHeight="1">
      <c r="A848" s="62"/>
      <c r="B848" s="79"/>
      <c r="C848" s="62"/>
      <c r="D848" s="62"/>
      <c r="E848" s="74"/>
      <c r="F848" s="62"/>
      <c r="G848" s="62"/>
      <c r="H848" s="62"/>
      <c r="I848" s="79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143"/>
      <c r="V848" s="143"/>
      <c r="W848" s="143"/>
      <c r="X848" s="62"/>
      <c r="Y848" s="62"/>
      <c r="Z848" s="143"/>
      <c r="AA848" s="143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78"/>
      <c r="BD848" s="78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</row>
    <row r="849" ht="15.75" customHeight="1">
      <c r="A849" s="62"/>
      <c r="B849" s="79"/>
      <c r="C849" s="62"/>
      <c r="D849" s="62"/>
      <c r="E849" s="74"/>
      <c r="F849" s="62"/>
      <c r="G849" s="62"/>
      <c r="H849" s="62"/>
      <c r="I849" s="79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143"/>
      <c r="V849" s="143"/>
      <c r="W849" s="143"/>
      <c r="X849" s="62"/>
      <c r="Y849" s="62"/>
      <c r="Z849" s="143"/>
      <c r="AA849" s="143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78"/>
      <c r="BD849" s="78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</row>
    <row r="850" ht="15.75" customHeight="1">
      <c r="A850" s="62"/>
      <c r="B850" s="79"/>
      <c r="C850" s="62"/>
      <c r="D850" s="62"/>
      <c r="E850" s="74"/>
      <c r="F850" s="62"/>
      <c r="G850" s="62"/>
      <c r="H850" s="62"/>
      <c r="I850" s="79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143"/>
      <c r="V850" s="143"/>
      <c r="W850" s="143"/>
      <c r="X850" s="62"/>
      <c r="Y850" s="62"/>
      <c r="Z850" s="143"/>
      <c r="AA850" s="143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78"/>
      <c r="BD850" s="78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</row>
    <row r="851" ht="15.75" customHeight="1">
      <c r="A851" s="62"/>
      <c r="B851" s="79"/>
      <c r="C851" s="62"/>
      <c r="D851" s="62"/>
      <c r="E851" s="74"/>
      <c r="F851" s="62"/>
      <c r="G851" s="62"/>
      <c r="H851" s="62"/>
      <c r="I851" s="79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143"/>
      <c r="V851" s="143"/>
      <c r="W851" s="143"/>
      <c r="X851" s="62"/>
      <c r="Y851" s="62"/>
      <c r="Z851" s="143"/>
      <c r="AA851" s="143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78"/>
      <c r="BD851" s="78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</row>
    <row r="852" ht="15.75" customHeight="1">
      <c r="A852" s="62"/>
      <c r="B852" s="79"/>
      <c r="C852" s="62"/>
      <c r="D852" s="62"/>
      <c r="E852" s="74"/>
      <c r="F852" s="62"/>
      <c r="G852" s="62"/>
      <c r="H852" s="62"/>
      <c r="I852" s="79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143"/>
      <c r="V852" s="143"/>
      <c r="W852" s="143"/>
      <c r="X852" s="62"/>
      <c r="Y852" s="62"/>
      <c r="Z852" s="143"/>
      <c r="AA852" s="143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78"/>
      <c r="BD852" s="78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</row>
    <row r="853" ht="15.75" customHeight="1">
      <c r="A853" s="62"/>
      <c r="B853" s="79"/>
      <c r="C853" s="62"/>
      <c r="D853" s="62"/>
      <c r="E853" s="74"/>
      <c r="F853" s="62"/>
      <c r="G853" s="62"/>
      <c r="H853" s="62"/>
      <c r="I853" s="79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143"/>
      <c r="V853" s="143"/>
      <c r="W853" s="143"/>
      <c r="X853" s="62"/>
      <c r="Y853" s="62"/>
      <c r="Z853" s="143"/>
      <c r="AA853" s="143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78"/>
      <c r="BD853" s="78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</row>
    <row r="854" ht="15.75" customHeight="1">
      <c r="A854" s="62"/>
      <c r="B854" s="79"/>
      <c r="C854" s="62"/>
      <c r="D854" s="62"/>
      <c r="E854" s="74"/>
      <c r="F854" s="62"/>
      <c r="G854" s="62"/>
      <c r="H854" s="62"/>
      <c r="I854" s="79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143"/>
      <c r="V854" s="143"/>
      <c r="W854" s="143"/>
      <c r="X854" s="62"/>
      <c r="Y854" s="62"/>
      <c r="Z854" s="143"/>
      <c r="AA854" s="143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78"/>
      <c r="BD854" s="78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</row>
    <row r="855" ht="15.75" customHeight="1">
      <c r="A855" s="62"/>
      <c r="B855" s="79"/>
      <c r="C855" s="62"/>
      <c r="D855" s="62"/>
      <c r="E855" s="74"/>
      <c r="F855" s="62"/>
      <c r="G855" s="62"/>
      <c r="H855" s="62"/>
      <c r="I855" s="79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143"/>
      <c r="V855" s="143"/>
      <c r="W855" s="143"/>
      <c r="X855" s="62"/>
      <c r="Y855" s="62"/>
      <c r="Z855" s="143"/>
      <c r="AA855" s="143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78"/>
      <c r="BD855" s="78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</row>
    <row r="856" ht="15.75" customHeight="1">
      <c r="A856" s="62"/>
      <c r="B856" s="79"/>
      <c r="C856" s="62"/>
      <c r="D856" s="62"/>
      <c r="E856" s="74"/>
      <c r="F856" s="62"/>
      <c r="G856" s="62"/>
      <c r="H856" s="62"/>
      <c r="I856" s="79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143"/>
      <c r="V856" s="143"/>
      <c r="W856" s="143"/>
      <c r="X856" s="62"/>
      <c r="Y856" s="62"/>
      <c r="Z856" s="143"/>
      <c r="AA856" s="143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78"/>
      <c r="BD856" s="78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62"/>
      <c r="BS856" s="62"/>
      <c r="BT856" s="62"/>
      <c r="BU856" s="62"/>
      <c r="BV856" s="62"/>
      <c r="BW856" s="62"/>
      <c r="BX856" s="62"/>
      <c r="BY856" s="62"/>
      <c r="BZ856" s="62"/>
      <c r="CA856" s="62"/>
      <c r="CB856" s="62"/>
    </row>
    <row r="857" ht="15.75" customHeight="1">
      <c r="A857" s="62"/>
      <c r="B857" s="79"/>
      <c r="C857" s="62"/>
      <c r="D857" s="62"/>
      <c r="E857" s="74"/>
      <c r="F857" s="62"/>
      <c r="G857" s="62"/>
      <c r="H857" s="62"/>
      <c r="I857" s="79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143"/>
      <c r="V857" s="143"/>
      <c r="W857" s="143"/>
      <c r="X857" s="62"/>
      <c r="Y857" s="62"/>
      <c r="Z857" s="143"/>
      <c r="AA857" s="143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78"/>
      <c r="BD857" s="78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  <c r="BS857" s="62"/>
      <c r="BT857" s="62"/>
      <c r="BU857" s="62"/>
      <c r="BV857" s="62"/>
      <c r="BW857" s="62"/>
      <c r="BX857" s="62"/>
      <c r="BY857" s="62"/>
      <c r="BZ857" s="62"/>
      <c r="CA857" s="62"/>
      <c r="CB857" s="62"/>
    </row>
    <row r="858" ht="15.75" customHeight="1">
      <c r="A858" s="62"/>
      <c r="B858" s="79"/>
      <c r="C858" s="62"/>
      <c r="D858" s="62"/>
      <c r="E858" s="74"/>
      <c r="F858" s="62"/>
      <c r="G858" s="62"/>
      <c r="H858" s="62"/>
      <c r="I858" s="79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143"/>
      <c r="V858" s="143"/>
      <c r="W858" s="143"/>
      <c r="X858" s="62"/>
      <c r="Y858" s="62"/>
      <c r="Z858" s="143"/>
      <c r="AA858" s="143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78"/>
      <c r="BD858" s="78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  <c r="BS858" s="62"/>
      <c r="BT858" s="62"/>
      <c r="BU858" s="62"/>
      <c r="BV858" s="62"/>
      <c r="BW858" s="62"/>
      <c r="BX858" s="62"/>
      <c r="BY858" s="62"/>
      <c r="BZ858" s="62"/>
      <c r="CA858" s="62"/>
      <c r="CB858" s="62"/>
    </row>
    <row r="859" ht="15.75" customHeight="1">
      <c r="A859" s="62"/>
      <c r="B859" s="79"/>
      <c r="C859" s="62"/>
      <c r="D859" s="62"/>
      <c r="E859" s="74"/>
      <c r="F859" s="62"/>
      <c r="G859" s="62"/>
      <c r="H859" s="62"/>
      <c r="I859" s="79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143"/>
      <c r="V859" s="143"/>
      <c r="W859" s="143"/>
      <c r="X859" s="62"/>
      <c r="Y859" s="62"/>
      <c r="Z859" s="143"/>
      <c r="AA859" s="143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78"/>
      <c r="BD859" s="78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62"/>
      <c r="BS859" s="62"/>
      <c r="BT859" s="62"/>
      <c r="BU859" s="62"/>
      <c r="BV859" s="62"/>
      <c r="BW859" s="62"/>
      <c r="BX859" s="62"/>
      <c r="BY859" s="62"/>
      <c r="BZ859" s="62"/>
      <c r="CA859" s="62"/>
      <c r="CB859" s="62"/>
    </row>
    <row r="860" ht="15.75" customHeight="1">
      <c r="A860" s="62"/>
      <c r="B860" s="79"/>
      <c r="C860" s="62"/>
      <c r="D860" s="62"/>
      <c r="E860" s="74"/>
      <c r="F860" s="62"/>
      <c r="G860" s="62"/>
      <c r="H860" s="62"/>
      <c r="I860" s="79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143"/>
      <c r="V860" s="143"/>
      <c r="W860" s="143"/>
      <c r="X860" s="62"/>
      <c r="Y860" s="62"/>
      <c r="Z860" s="143"/>
      <c r="AA860" s="143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78"/>
      <c r="BD860" s="78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62"/>
      <c r="BS860" s="62"/>
      <c r="BT860" s="62"/>
      <c r="BU860" s="62"/>
      <c r="BV860" s="62"/>
      <c r="BW860" s="62"/>
      <c r="BX860" s="62"/>
      <c r="BY860" s="62"/>
      <c r="BZ860" s="62"/>
      <c r="CA860" s="62"/>
      <c r="CB860" s="62"/>
    </row>
    <row r="861" ht="15.75" customHeight="1">
      <c r="A861" s="62"/>
      <c r="B861" s="79"/>
      <c r="C861" s="62"/>
      <c r="D861" s="62"/>
      <c r="E861" s="74"/>
      <c r="F861" s="62"/>
      <c r="G861" s="62"/>
      <c r="H861" s="62"/>
      <c r="I861" s="79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143"/>
      <c r="V861" s="143"/>
      <c r="W861" s="143"/>
      <c r="X861" s="62"/>
      <c r="Y861" s="62"/>
      <c r="Z861" s="143"/>
      <c r="AA861" s="143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78"/>
      <c r="BD861" s="78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62"/>
      <c r="BS861" s="62"/>
      <c r="BT861" s="62"/>
      <c r="BU861" s="62"/>
      <c r="BV861" s="62"/>
      <c r="BW861" s="62"/>
      <c r="BX861" s="62"/>
      <c r="BY861" s="62"/>
      <c r="BZ861" s="62"/>
      <c r="CA861" s="62"/>
      <c r="CB861" s="62"/>
    </row>
    <row r="862" ht="15.75" customHeight="1">
      <c r="A862" s="62"/>
      <c r="B862" s="79"/>
      <c r="C862" s="62"/>
      <c r="D862" s="62"/>
      <c r="E862" s="74"/>
      <c r="F862" s="62"/>
      <c r="G862" s="62"/>
      <c r="H862" s="62"/>
      <c r="I862" s="79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143"/>
      <c r="V862" s="143"/>
      <c r="W862" s="143"/>
      <c r="X862" s="62"/>
      <c r="Y862" s="62"/>
      <c r="Z862" s="143"/>
      <c r="AA862" s="143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78"/>
      <c r="BD862" s="78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2"/>
      <c r="CA862" s="62"/>
      <c r="CB862" s="62"/>
    </row>
    <row r="863" ht="15.75" customHeight="1">
      <c r="A863" s="62"/>
      <c r="B863" s="79"/>
      <c r="C863" s="62"/>
      <c r="D863" s="62"/>
      <c r="E863" s="74"/>
      <c r="F863" s="62"/>
      <c r="G863" s="62"/>
      <c r="H863" s="62"/>
      <c r="I863" s="79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143"/>
      <c r="V863" s="143"/>
      <c r="W863" s="143"/>
      <c r="X863" s="62"/>
      <c r="Y863" s="62"/>
      <c r="Z863" s="143"/>
      <c r="AA863" s="143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78"/>
      <c r="BD863" s="78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  <c r="BS863" s="62"/>
      <c r="BT863" s="62"/>
      <c r="BU863" s="62"/>
      <c r="BV863" s="62"/>
      <c r="BW863" s="62"/>
      <c r="BX863" s="62"/>
      <c r="BY863" s="62"/>
      <c r="BZ863" s="62"/>
      <c r="CA863" s="62"/>
      <c r="CB863" s="62"/>
    </row>
    <row r="864" ht="15.75" customHeight="1">
      <c r="A864" s="62"/>
      <c r="B864" s="79"/>
      <c r="C864" s="62"/>
      <c r="D864" s="62"/>
      <c r="E864" s="74"/>
      <c r="F864" s="62"/>
      <c r="G864" s="62"/>
      <c r="H864" s="62"/>
      <c r="I864" s="79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143"/>
      <c r="V864" s="143"/>
      <c r="W864" s="143"/>
      <c r="X864" s="62"/>
      <c r="Y864" s="62"/>
      <c r="Z864" s="143"/>
      <c r="AA864" s="143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78"/>
      <c r="BD864" s="78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62"/>
      <c r="BS864" s="62"/>
      <c r="BT864" s="62"/>
      <c r="BU864" s="62"/>
      <c r="BV864" s="62"/>
      <c r="BW864" s="62"/>
      <c r="BX864" s="62"/>
      <c r="BY864" s="62"/>
      <c r="BZ864" s="62"/>
      <c r="CA864" s="62"/>
      <c r="CB864" s="62"/>
    </row>
    <row r="865" ht="15.75" customHeight="1">
      <c r="A865" s="62"/>
      <c r="B865" s="79"/>
      <c r="C865" s="62"/>
      <c r="D865" s="62"/>
      <c r="E865" s="74"/>
      <c r="F865" s="62"/>
      <c r="G865" s="62"/>
      <c r="H865" s="62"/>
      <c r="I865" s="79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143"/>
      <c r="V865" s="143"/>
      <c r="W865" s="143"/>
      <c r="X865" s="62"/>
      <c r="Y865" s="62"/>
      <c r="Z865" s="143"/>
      <c r="AA865" s="143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78"/>
      <c r="BD865" s="78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62"/>
      <c r="BS865" s="62"/>
      <c r="BT865" s="62"/>
      <c r="BU865" s="62"/>
      <c r="BV865" s="62"/>
      <c r="BW865" s="62"/>
      <c r="BX865" s="62"/>
      <c r="BY865" s="62"/>
      <c r="BZ865" s="62"/>
      <c r="CA865" s="62"/>
      <c r="CB865" s="62"/>
    </row>
    <row r="866" ht="15.75" customHeight="1">
      <c r="A866" s="62"/>
      <c r="B866" s="79"/>
      <c r="C866" s="62"/>
      <c r="D866" s="62"/>
      <c r="E866" s="74"/>
      <c r="F866" s="62"/>
      <c r="G866" s="62"/>
      <c r="H866" s="62"/>
      <c r="I866" s="79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143"/>
      <c r="V866" s="143"/>
      <c r="W866" s="143"/>
      <c r="X866" s="62"/>
      <c r="Y866" s="62"/>
      <c r="Z866" s="143"/>
      <c r="AA866" s="143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78"/>
      <c r="BD866" s="78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62"/>
      <c r="BS866" s="62"/>
      <c r="BT866" s="62"/>
      <c r="BU866" s="62"/>
      <c r="BV866" s="62"/>
      <c r="BW866" s="62"/>
      <c r="BX866" s="62"/>
      <c r="BY866" s="62"/>
      <c r="BZ866" s="62"/>
      <c r="CA866" s="62"/>
      <c r="CB866" s="62"/>
    </row>
    <row r="867" ht="15.75" customHeight="1">
      <c r="A867" s="62"/>
      <c r="B867" s="79"/>
      <c r="C867" s="62"/>
      <c r="D867" s="62"/>
      <c r="E867" s="74"/>
      <c r="F867" s="62"/>
      <c r="G867" s="62"/>
      <c r="H867" s="62"/>
      <c r="I867" s="79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143"/>
      <c r="V867" s="143"/>
      <c r="W867" s="143"/>
      <c r="X867" s="62"/>
      <c r="Y867" s="62"/>
      <c r="Z867" s="143"/>
      <c r="AA867" s="143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78"/>
      <c r="BD867" s="78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62"/>
      <c r="BS867" s="62"/>
      <c r="BT867" s="62"/>
      <c r="BU867" s="62"/>
      <c r="BV867" s="62"/>
      <c r="BW867" s="62"/>
      <c r="BX867" s="62"/>
      <c r="BY867" s="62"/>
      <c r="BZ867" s="62"/>
      <c r="CA867" s="62"/>
      <c r="CB867" s="62"/>
    </row>
    <row r="868" ht="15.75" customHeight="1">
      <c r="A868" s="62"/>
      <c r="B868" s="79"/>
      <c r="C868" s="62"/>
      <c r="D868" s="62"/>
      <c r="E868" s="74"/>
      <c r="F868" s="62"/>
      <c r="G868" s="62"/>
      <c r="H868" s="62"/>
      <c r="I868" s="79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143"/>
      <c r="V868" s="143"/>
      <c r="W868" s="143"/>
      <c r="X868" s="62"/>
      <c r="Y868" s="62"/>
      <c r="Z868" s="143"/>
      <c r="AA868" s="143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78"/>
      <c r="BD868" s="78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62"/>
      <c r="BS868" s="62"/>
      <c r="BT868" s="62"/>
      <c r="BU868" s="62"/>
      <c r="BV868" s="62"/>
      <c r="BW868" s="62"/>
      <c r="BX868" s="62"/>
      <c r="BY868" s="62"/>
      <c r="BZ868" s="62"/>
      <c r="CA868" s="62"/>
      <c r="CB868" s="62"/>
    </row>
    <row r="869" ht="15.75" customHeight="1">
      <c r="A869" s="62"/>
      <c r="B869" s="79"/>
      <c r="C869" s="62"/>
      <c r="D869" s="62"/>
      <c r="E869" s="74"/>
      <c r="F869" s="62"/>
      <c r="G869" s="62"/>
      <c r="H869" s="62"/>
      <c r="I869" s="79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143"/>
      <c r="V869" s="143"/>
      <c r="W869" s="143"/>
      <c r="X869" s="62"/>
      <c r="Y869" s="62"/>
      <c r="Z869" s="143"/>
      <c r="AA869" s="143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78"/>
      <c r="BD869" s="78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62"/>
      <c r="BS869" s="62"/>
      <c r="BT869" s="62"/>
      <c r="BU869" s="62"/>
      <c r="BV869" s="62"/>
      <c r="BW869" s="62"/>
      <c r="BX869" s="62"/>
      <c r="BY869" s="62"/>
      <c r="BZ869" s="62"/>
      <c r="CA869" s="62"/>
      <c r="CB869" s="62"/>
    </row>
    <row r="870" ht="15.75" customHeight="1">
      <c r="A870" s="62"/>
      <c r="B870" s="79"/>
      <c r="C870" s="62"/>
      <c r="D870" s="62"/>
      <c r="E870" s="74"/>
      <c r="F870" s="62"/>
      <c r="G870" s="62"/>
      <c r="H870" s="62"/>
      <c r="I870" s="79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143"/>
      <c r="V870" s="143"/>
      <c r="W870" s="143"/>
      <c r="X870" s="62"/>
      <c r="Y870" s="62"/>
      <c r="Z870" s="143"/>
      <c r="AA870" s="143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78"/>
      <c r="BD870" s="78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62"/>
      <c r="BS870" s="62"/>
      <c r="BT870" s="62"/>
      <c r="BU870" s="62"/>
      <c r="BV870" s="62"/>
      <c r="BW870" s="62"/>
      <c r="BX870" s="62"/>
      <c r="BY870" s="62"/>
      <c r="BZ870" s="62"/>
      <c r="CA870" s="62"/>
      <c r="CB870" s="62"/>
    </row>
    <row r="871" ht="15.75" customHeight="1">
      <c r="A871" s="62"/>
      <c r="B871" s="79"/>
      <c r="C871" s="62"/>
      <c r="D871" s="62"/>
      <c r="E871" s="74"/>
      <c r="F871" s="62"/>
      <c r="G871" s="62"/>
      <c r="H871" s="62"/>
      <c r="I871" s="79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143"/>
      <c r="V871" s="143"/>
      <c r="W871" s="143"/>
      <c r="X871" s="62"/>
      <c r="Y871" s="62"/>
      <c r="Z871" s="143"/>
      <c r="AA871" s="143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78"/>
      <c r="BD871" s="78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62"/>
      <c r="BS871" s="62"/>
      <c r="BT871" s="62"/>
      <c r="BU871" s="62"/>
      <c r="BV871" s="62"/>
      <c r="BW871" s="62"/>
      <c r="BX871" s="62"/>
      <c r="BY871" s="62"/>
      <c r="BZ871" s="62"/>
      <c r="CA871" s="62"/>
      <c r="CB871" s="62"/>
    </row>
    <row r="872" ht="15.75" customHeight="1">
      <c r="A872" s="62"/>
      <c r="B872" s="79"/>
      <c r="C872" s="62"/>
      <c r="D872" s="62"/>
      <c r="E872" s="74"/>
      <c r="F872" s="62"/>
      <c r="G872" s="62"/>
      <c r="H872" s="62"/>
      <c r="I872" s="79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143"/>
      <c r="V872" s="143"/>
      <c r="W872" s="143"/>
      <c r="X872" s="62"/>
      <c r="Y872" s="62"/>
      <c r="Z872" s="143"/>
      <c r="AA872" s="143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78"/>
      <c r="BD872" s="78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62"/>
      <c r="BS872" s="62"/>
      <c r="BT872" s="62"/>
      <c r="BU872" s="62"/>
      <c r="BV872" s="62"/>
      <c r="BW872" s="62"/>
      <c r="BX872" s="62"/>
      <c r="BY872" s="62"/>
      <c r="BZ872" s="62"/>
      <c r="CA872" s="62"/>
      <c r="CB872" s="62"/>
    </row>
    <row r="873" ht="15.75" customHeight="1">
      <c r="A873" s="62"/>
      <c r="B873" s="79"/>
      <c r="C873" s="62"/>
      <c r="D873" s="62"/>
      <c r="E873" s="74"/>
      <c r="F873" s="62"/>
      <c r="G873" s="62"/>
      <c r="H873" s="62"/>
      <c r="I873" s="79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143"/>
      <c r="V873" s="143"/>
      <c r="W873" s="143"/>
      <c r="X873" s="62"/>
      <c r="Y873" s="62"/>
      <c r="Z873" s="143"/>
      <c r="AA873" s="143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78"/>
      <c r="BD873" s="78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62"/>
      <c r="BS873" s="62"/>
      <c r="BT873" s="62"/>
      <c r="BU873" s="62"/>
      <c r="BV873" s="62"/>
      <c r="BW873" s="62"/>
      <c r="BX873" s="62"/>
      <c r="BY873" s="62"/>
      <c r="BZ873" s="62"/>
      <c r="CA873" s="62"/>
      <c r="CB873" s="62"/>
    </row>
    <row r="874" ht="15.75" customHeight="1">
      <c r="A874" s="62"/>
      <c r="B874" s="79"/>
      <c r="C874" s="62"/>
      <c r="D874" s="62"/>
      <c r="E874" s="74"/>
      <c r="F874" s="62"/>
      <c r="G874" s="62"/>
      <c r="H874" s="62"/>
      <c r="I874" s="79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143"/>
      <c r="V874" s="143"/>
      <c r="W874" s="143"/>
      <c r="X874" s="62"/>
      <c r="Y874" s="62"/>
      <c r="Z874" s="143"/>
      <c r="AA874" s="143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78"/>
      <c r="BD874" s="78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62"/>
      <c r="BS874" s="62"/>
      <c r="BT874" s="62"/>
      <c r="BU874" s="62"/>
      <c r="BV874" s="62"/>
      <c r="BW874" s="62"/>
      <c r="BX874" s="62"/>
      <c r="BY874" s="62"/>
      <c r="BZ874" s="62"/>
      <c r="CA874" s="62"/>
      <c r="CB874" s="62"/>
    </row>
    <row r="875" ht="15.75" customHeight="1">
      <c r="A875" s="62"/>
      <c r="B875" s="79"/>
      <c r="C875" s="62"/>
      <c r="D875" s="62"/>
      <c r="E875" s="74"/>
      <c r="F875" s="62"/>
      <c r="G875" s="62"/>
      <c r="H875" s="62"/>
      <c r="I875" s="79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143"/>
      <c r="V875" s="143"/>
      <c r="W875" s="143"/>
      <c r="X875" s="62"/>
      <c r="Y875" s="62"/>
      <c r="Z875" s="143"/>
      <c r="AA875" s="143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78"/>
      <c r="BD875" s="78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62"/>
      <c r="BS875" s="62"/>
      <c r="BT875" s="62"/>
      <c r="BU875" s="62"/>
      <c r="BV875" s="62"/>
      <c r="BW875" s="62"/>
      <c r="BX875" s="62"/>
      <c r="BY875" s="62"/>
      <c r="BZ875" s="62"/>
      <c r="CA875" s="62"/>
      <c r="CB875" s="62"/>
    </row>
    <row r="876" ht="15.75" customHeight="1">
      <c r="A876" s="62"/>
      <c r="B876" s="79"/>
      <c r="C876" s="62"/>
      <c r="D876" s="62"/>
      <c r="E876" s="74"/>
      <c r="F876" s="62"/>
      <c r="G876" s="62"/>
      <c r="H876" s="62"/>
      <c r="I876" s="79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143"/>
      <c r="V876" s="143"/>
      <c r="W876" s="143"/>
      <c r="X876" s="62"/>
      <c r="Y876" s="62"/>
      <c r="Z876" s="143"/>
      <c r="AA876" s="143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78"/>
      <c r="BD876" s="78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62"/>
      <c r="BS876" s="62"/>
      <c r="BT876" s="62"/>
      <c r="BU876" s="62"/>
      <c r="BV876" s="62"/>
      <c r="BW876" s="62"/>
      <c r="BX876" s="62"/>
      <c r="BY876" s="62"/>
      <c r="BZ876" s="62"/>
      <c r="CA876" s="62"/>
      <c r="CB876" s="62"/>
    </row>
    <row r="877" ht="15.75" customHeight="1">
      <c r="A877" s="62"/>
      <c r="B877" s="79"/>
      <c r="C877" s="62"/>
      <c r="D877" s="62"/>
      <c r="E877" s="74"/>
      <c r="F877" s="62"/>
      <c r="G877" s="62"/>
      <c r="H877" s="62"/>
      <c r="I877" s="79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143"/>
      <c r="V877" s="143"/>
      <c r="W877" s="143"/>
      <c r="X877" s="62"/>
      <c r="Y877" s="62"/>
      <c r="Z877" s="143"/>
      <c r="AA877" s="143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78"/>
      <c r="BD877" s="78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62"/>
      <c r="BS877" s="62"/>
      <c r="BT877" s="62"/>
      <c r="BU877" s="62"/>
      <c r="BV877" s="62"/>
      <c r="BW877" s="62"/>
      <c r="BX877" s="62"/>
      <c r="BY877" s="62"/>
      <c r="BZ877" s="62"/>
      <c r="CA877" s="62"/>
      <c r="CB877" s="62"/>
    </row>
    <row r="878" ht="15.75" customHeight="1">
      <c r="A878" s="62"/>
      <c r="B878" s="79"/>
      <c r="C878" s="62"/>
      <c r="D878" s="62"/>
      <c r="E878" s="74"/>
      <c r="F878" s="62"/>
      <c r="G878" s="62"/>
      <c r="H878" s="62"/>
      <c r="I878" s="79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143"/>
      <c r="V878" s="143"/>
      <c r="W878" s="143"/>
      <c r="X878" s="62"/>
      <c r="Y878" s="62"/>
      <c r="Z878" s="143"/>
      <c r="AA878" s="143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78"/>
      <c r="BD878" s="78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62"/>
      <c r="BS878" s="62"/>
      <c r="BT878" s="62"/>
      <c r="BU878" s="62"/>
      <c r="BV878" s="62"/>
      <c r="BW878" s="62"/>
      <c r="BX878" s="62"/>
      <c r="BY878" s="62"/>
      <c r="BZ878" s="62"/>
      <c r="CA878" s="62"/>
      <c r="CB878" s="62"/>
    </row>
    <row r="879" ht="15.75" customHeight="1">
      <c r="A879" s="62"/>
      <c r="B879" s="79"/>
      <c r="C879" s="62"/>
      <c r="D879" s="62"/>
      <c r="E879" s="74"/>
      <c r="F879" s="62"/>
      <c r="G879" s="62"/>
      <c r="H879" s="62"/>
      <c r="I879" s="79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143"/>
      <c r="V879" s="143"/>
      <c r="W879" s="143"/>
      <c r="X879" s="62"/>
      <c r="Y879" s="62"/>
      <c r="Z879" s="143"/>
      <c r="AA879" s="143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78"/>
      <c r="BD879" s="78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62"/>
      <c r="BS879" s="62"/>
      <c r="BT879" s="62"/>
      <c r="BU879" s="62"/>
      <c r="BV879" s="62"/>
      <c r="BW879" s="62"/>
      <c r="BX879" s="62"/>
      <c r="BY879" s="62"/>
      <c r="BZ879" s="62"/>
      <c r="CA879" s="62"/>
      <c r="CB879" s="62"/>
    </row>
    <row r="880" ht="15.75" customHeight="1">
      <c r="A880" s="62"/>
      <c r="B880" s="79"/>
      <c r="C880" s="62"/>
      <c r="D880" s="62"/>
      <c r="E880" s="74"/>
      <c r="F880" s="62"/>
      <c r="G880" s="62"/>
      <c r="H880" s="62"/>
      <c r="I880" s="79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143"/>
      <c r="V880" s="143"/>
      <c r="W880" s="143"/>
      <c r="X880" s="62"/>
      <c r="Y880" s="62"/>
      <c r="Z880" s="143"/>
      <c r="AA880" s="143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78"/>
      <c r="BD880" s="78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62"/>
      <c r="BS880" s="62"/>
      <c r="BT880" s="62"/>
      <c r="BU880" s="62"/>
      <c r="BV880" s="62"/>
      <c r="BW880" s="62"/>
      <c r="BX880" s="62"/>
      <c r="BY880" s="62"/>
      <c r="BZ880" s="62"/>
      <c r="CA880" s="62"/>
      <c r="CB880" s="62"/>
    </row>
    <row r="881" ht="15.75" customHeight="1">
      <c r="A881" s="62"/>
      <c r="B881" s="79"/>
      <c r="C881" s="62"/>
      <c r="D881" s="62"/>
      <c r="E881" s="74"/>
      <c r="F881" s="62"/>
      <c r="G881" s="62"/>
      <c r="H881" s="62"/>
      <c r="I881" s="79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143"/>
      <c r="V881" s="143"/>
      <c r="W881" s="143"/>
      <c r="X881" s="62"/>
      <c r="Y881" s="62"/>
      <c r="Z881" s="143"/>
      <c r="AA881" s="143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78"/>
      <c r="BD881" s="78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62"/>
      <c r="BS881" s="62"/>
      <c r="BT881" s="62"/>
      <c r="BU881" s="62"/>
      <c r="BV881" s="62"/>
      <c r="BW881" s="62"/>
      <c r="BX881" s="62"/>
      <c r="BY881" s="62"/>
      <c r="BZ881" s="62"/>
      <c r="CA881" s="62"/>
      <c r="CB881" s="62"/>
    </row>
    <row r="882" ht="15.75" customHeight="1">
      <c r="A882" s="62"/>
      <c r="B882" s="79"/>
      <c r="C882" s="62"/>
      <c r="D882" s="62"/>
      <c r="E882" s="74"/>
      <c r="F882" s="62"/>
      <c r="G882" s="62"/>
      <c r="H882" s="62"/>
      <c r="I882" s="79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143"/>
      <c r="V882" s="143"/>
      <c r="W882" s="143"/>
      <c r="X882" s="62"/>
      <c r="Y882" s="62"/>
      <c r="Z882" s="143"/>
      <c r="AA882" s="143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78"/>
      <c r="BD882" s="78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62"/>
      <c r="BS882" s="62"/>
      <c r="BT882" s="62"/>
      <c r="BU882" s="62"/>
      <c r="BV882" s="62"/>
      <c r="BW882" s="62"/>
      <c r="BX882" s="62"/>
      <c r="BY882" s="62"/>
      <c r="BZ882" s="62"/>
      <c r="CA882" s="62"/>
      <c r="CB882" s="62"/>
    </row>
    <row r="883" ht="15.75" customHeight="1">
      <c r="A883" s="62"/>
      <c r="B883" s="79"/>
      <c r="C883" s="62"/>
      <c r="D883" s="62"/>
      <c r="E883" s="74"/>
      <c r="F883" s="62"/>
      <c r="G883" s="62"/>
      <c r="H883" s="62"/>
      <c r="I883" s="79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143"/>
      <c r="V883" s="143"/>
      <c r="W883" s="143"/>
      <c r="X883" s="62"/>
      <c r="Y883" s="62"/>
      <c r="Z883" s="143"/>
      <c r="AA883" s="143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78"/>
      <c r="BD883" s="78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62"/>
      <c r="BS883" s="62"/>
      <c r="BT883" s="62"/>
      <c r="BU883" s="62"/>
      <c r="BV883" s="62"/>
      <c r="BW883" s="62"/>
      <c r="BX883" s="62"/>
      <c r="BY883" s="62"/>
      <c r="BZ883" s="62"/>
      <c r="CA883" s="62"/>
      <c r="CB883" s="62"/>
    </row>
    <row r="884" ht="15.75" customHeight="1">
      <c r="A884" s="62"/>
      <c r="B884" s="79"/>
      <c r="C884" s="62"/>
      <c r="D884" s="62"/>
      <c r="E884" s="74"/>
      <c r="F884" s="62"/>
      <c r="G884" s="62"/>
      <c r="H884" s="62"/>
      <c r="I884" s="79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143"/>
      <c r="V884" s="143"/>
      <c r="W884" s="143"/>
      <c r="X884" s="62"/>
      <c r="Y884" s="62"/>
      <c r="Z884" s="143"/>
      <c r="AA884" s="143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78"/>
      <c r="BD884" s="78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</row>
    <row r="885" ht="15.75" customHeight="1">
      <c r="A885" s="62"/>
      <c r="B885" s="79"/>
      <c r="C885" s="62"/>
      <c r="D885" s="62"/>
      <c r="E885" s="74"/>
      <c r="F885" s="62"/>
      <c r="G885" s="62"/>
      <c r="H885" s="62"/>
      <c r="I885" s="79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143"/>
      <c r="V885" s="143"/>
      <c r="W885" s="143"/>
      <c r="X885" s="62"/>
      <c r="Y885" s="62"/>
      <c r="Z885" s="143"/>
      <c r="AA885" s="143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78"/>
      <c r="BD885" s="78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</row>
    <row r="886" ht="15.75" customHeight="1">
      <c r="A886" s="62"/>
      <c r="B886" s="79"/>
      <c r="C886" s="62"/>
      <c r="D886" s="62"/>
      <c r="E886" s="74"/>
      <c r="F886" s="62"/>
      <c r="G886" s="62"/>
      <c r="H886" s="62"/>
      <c r="I886" s="79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143"/>
      <c r="V886" s="143"/>
      <c r="W886" s="143"/>
      <c r="X886" s="62"/>
      <c r="Y886" s="62"/>
      <c r="Z886" s="143"/>
      <c r="AA886" s="143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78"/>
      <c r="BD886" s="78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</row>
    <row r="887" ht="15.75" customHeight="1">
      <c r="A887" s="62"/>
      <c r="B887" s="79"/>
      <c r="C887" s="62"/>
      <c r="D887" s="62"/>
      <c r="E887" s="74"/>
      <c r="F887" s="62"/>
      <c r="G887" s="62"/>
      <c r="H887" s="62"/>
      <c r="I887" s="79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143"/>
      <c r="V887" s="143"/>
      <c r="W887" s="143"/>
      <c r="X887" s="62"/>
      <c r="Y887" s="62"/>
      <c r="Z887" s="143"/>
      <c r="AA887" s="143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78"/>
      <c r="BD887" s="78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</row>
    <row r="888" ht="15.75" customHeight="1">
      <c r="A888" s="62"/>
      <c r="B888" s="79"/>
      <c r="C888" s="62"/>
      <c r="D888" s="62"/>
      <c r="E888" s="74"/>
      <c r="F888" s="62"/>
      <c r="G888" s="62"/>
      <c r="H888" s="62"/>
      <c r="I888" s="79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143"/>
      <c r="V888" s="143"/>
      <c r="W888" s="143"/>
      <c r="X888" s="62"/>
      <c r="Y888" s="62"/>
      <c r="Z888" s="143"/>
      <c r="AA888" s="143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78"/>
      <c r="BD888" s="78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</row>
    <row r="889" ht="15.75" customHeight="1">
      <c r="A889" s="62"/>
      <c r="B889" s="79"/>
      <c r="C889" s="62"/>
      <c r="D889" s="62"/>
      <c r="E889" s="74"/>
      <c r="F889" s="62"/>
      <c r="G889" s="62"/>
      <c r="H889" s="62"/>
      <c r="I889" s="79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143"/>
      <c r="V889" s="143"/>
      <c r="W889" s="143"/>
      <c r="X889" s="62"/>
      <c r="Y889" s="62"/>
      <c r="Z889" s="143"/>
      <c r="AA889" s="143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78"/>
      <c r="BD889" s="78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</row>
    <row r="890" ht="15.75" customHeight="1">
      <c r="A890" s="62"/>
      <c r="B890" s="79"/>
      <c r="C890" s="62"/>
      <c r="D890" s="62"/>
      <c r="E890" s="74"/>
      <c r="F890" s="62"/>
      <c r="G890" s="62"/>
      <c r="H890" s="62"/>
      <c r="I890" s="79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143"/>
      <c r="V890" s="143"/>
      <c r="W890" s="143"/>
      <c r="X890" s="62"/>
      <c r="Y890" s="62"/>
      <c r="Z890" s="143"/>
      <c r="AA890" s="143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78"/>
      <c r="BD890" s="78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</row>
    <row r="891" ht="15.75" customHeight="1">
      <c r="A891" s="62"/>
      <c r="B891" s="79"/>
      <c r="C891" s="62"/>
      <c r="D891" s="62"/>
      <c r="E891" s="74"/>
      <c r="F891" s="62"/>
      <c r="G891" s="62"/>
      <c r="H891" s="62"/>
      <c r="I891" s="79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143"/>
      <c r="V891" s="143"/>
      <c r="W891" s="143"/>
      <c r="X891" s="62"/>
      <c r="Y891" s="62"/>
      <c r="Z891" s="143"/>
      <c r="AA891" s="143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78"/>
      <c r="BD891" s="78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</row>
    <row r="892" ht="15.75" customHeight="1">
      <c r="A892" s="62"/>
      <c r="B892" s="79"/>
      <c r="C892" s="62"/>
      <c r="D892" s="62"/>
      <c r="E892" s="74"/>
      <c r="F892" s="62"/>
      <c r="G892" s="62"/>
      <c r="H892" s="62"/>
      <c r="I892" s="79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143"/>
      <c r="V892" s="143"/>
      <c r="W892" s="143"/>
      <c r="X892" s="62"/>
      <c r="Y892" s="62"/>
      <c r="Z892" s="143"/>
      <c r="AA892" s="143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78"/>
      <c r="BD892" s="78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</row>
    <row r="893" ht="15.75" customHeight="1">
      <c r="A893" s="62"/>
      <c r="B893" s="79"/>
      <c r="C893" s="62"/>
      <c r="D893" s="62"/>
      <c r="E893" s="74"/>
      <c r="F893" s="62"/>
      <c r="G893" s="62"/>
      <c r="H893" s="62"/>
      <c r="I893" s="79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143"/>
      <c r="V893" s="143"/>
      <c r="W893" s="143"/>
      <c r="X893" s="62"/>
      <c r="Y893" s="62"/>
      <c r="Z893" s="143"/>
      <c r="AA893" s="143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78"/>
      <c r="BD893" s="78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</row>
    <row r="894" ht="15.75" customHeight="1">
      <c r="A894" s="62"/>
      <c r="B894" s="79"/>
      <c r="C894" s="62"/>
      <c r="D894" s="62"/>
      <c r="E894" s="74"/>
      <c r="F894" s="62"/>
      <c r="G894" s="62"/>
      <c r="H894" s="62"/>
      <c r="I894" s="79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143"/>
      <c r="V894" s="143"/>
      <c r="W894" s="143"/>
      <c r="X894" s="62"/>
      <c r="Y894" s="62"/>
      <c r="Z894" s="143"/>
      <c r="AA894" s="143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78"/>
      <c r="BD894" s="78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62"/>
      <c r="BS894" s="62"/>
      <c r="BT894" s="62"/>
      <c r="BU894" s="62"/>
      <c r="BV894" s="62"/>
      <c r="BW894" s="62"/>
      <c r="BX894" s="62"/>
      <c r="BY894" s="62"/>
      <c r="BZ894" s="62"/>
      <c r="CA894" s="62"/>
      <c r="CB894" s="62"/>
    </row>
    <row r="895" ht="15.75" customHeight="1">
      <c r="A895" s="62"/>
      <c r="B895" s="79"/>
      <c r="C895" s="62"/>
      <c r="D895" s="62"/>
      <c r="E895" s="74"/>
      <c r="F895" s="62"/>
      <c r="G895" s="62"/>
      <c r="H895" s="62"/>
      <c r="I895" s="79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143"/>
      <c r="V895" s="143"/>
      <c r="W895" s="143"/>
      <c r="X895" s="62"/>
      <c r="Y895" s="62"/>
      <c r="Z895" s="143"/>
      <c r="AA895" s="143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78"/>
      <c r="BD895" s="78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62"/>
      <c r="BS895" s="62"/>
      <c r="BT895" s="62"/>
      <c r="BU895" s="62"/>
      <c r="BV895" s="62"/>
      <c r="BW895" s="62"/>
      <c r="BX895" s="62"/>
      <c r="BY895" s="62"/>
      <c r="BZ895" s="62"/>
      <c r="CA895" s="62"/>
      <c r="CB895" s="62"/>
    </row>
    <row r="896" ht="15.75" customHeight="1">
      <c r="A896" s="62"/>
      <c r="B896" s="79"/>
      <c r="C896" s="62"/>
      <c r="D896" s="62"/>
      <c r="E896" s="74"/>
      <c r="F896" s="62"/>
      <c r="G896" s="62"/>
      <c r="H896" s="62"/>
      <c r="I896" s="79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143"/>
      <c r="V896" s="143"/>
      <c r="W896" s="143"/>
      <c r="X896" s="62"/>
      <c r="Y896" s="62"/>
      <c r="Z896" s="143"/>
      <c r="AA896" s="143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78"/>
      <c r="BD896" s="78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62"/>
      <c r="BS896" s="62"/>
      <c r="BT896" s="62"/>
      <c r="BU896" s="62"/>
      <c r="BV896" s="62"/>
      <c r="BW896" s="62"/>
      <c r="BX896" s="62"/>
      <c r="BY896" s="62"/>
      <c r="BZ896" s="62"/>
      <c r="CA896" s="62"/>
      <c r="CB896" s="62"/>
    </row>
    <row r="897" ht="15.75" customHeight="1">
      <c r="A897" s="62"/>
      <c r="B897" s="79"/>
      <c r="C897" s="62"/>
      <c r="D897" s="62"/>
      <c r="E897" s="74"/>
      <c r="F897" s="62"/>
      <c r="G897" s="62"/>
      <c r="H897" s="62"/>
      <c r="I897" s="79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143"/>
      <c r="V897" s="143"/>
      <c r="W897" s="143"/>
      <c r="X897" s="62"/>
      <c r="Y897" s="62"/>
      <c r="Z897" s="143"/>
      <c r="AA897" s="143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78"/>
      <c r="BD897" s="78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62"/>
      <c r="BS897" s="62"/>
      <c r="BT897" s="62"/>
      <c r="BU897" s="62"/>
      <c r="BV897" s="62"/>
      <c r="BW897" s="62"/>
      <c r="BX897" s="62"/>
      <c r="BY897" s="62"/>
      <c r="BZ897" s="62"/>
      <c r="CA897" s="62"/>
      <c r="CB897" s="62"/>
    </row>
    <row r="898" ht="15.75" customHeight="1">
      <c r="A898" s="62"/>
      <c r="B898" s="79"/>
      <c r="C898" s="62"/>
      <c r="D898" s="62"/>
      <c r="E898" s="74"/>
      <c r="F898" s="62"/>
      <c r="G898" s="62"/>
      <c r="H898" s="62"/>
      <c r="I898" s="79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143"/>
      <c r="V898" s="143"/>
      <c r="W898" s="143"/>
      <c r="X898" s="62"/>
      <c r="Y898" s="62"/>
      <c r="Z898" s="143"/>
      <c r="AA898" s="143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78"/>
      <c r="BD898" s="78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62"/>
      <c r="BS898" s="62"/>
      <c r="BT898" s="62"/>
      <c r="BU898" s="62"/>
      <c r="BV898" s="62"/>
      <c r="BW898" s="62"/>
      <c r="BX898" s="62"/>
      <c r="BY898" s="62"/>
      <c r="BZ898" s="62"/>
      <c r="CA898" s="62"/>
      <c r="CB898" s="62"/>
    </row>
    <row r="899" ht="15.75" customHeight="1">
      <c r="A899" s="62"/>
      <c r="B899" s="79"/>
      <c r="C899" s="62"/>
      <c r="D899" s="62"/>
      <c r="E899" s="74"/>
      <c r="F899" s="62"/>
      <c r="G899" s="62"/>
      <c r="H899" s="62"/>
      <c r="I899" s="79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143"/>
      <c r="V899" s="143"/>
      <c r="W899" s="143"/>
      <c r="X899" s="62"/>
      <c r="Y899" s="62"/>
      <c r="Z899" s="143"/>
      <c r="AA899" s="143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78"/>
      <c r="BD899" s="78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62"/>
      <c r="BS899" s="62"/>
      <c r="BT899" s="62"/>
      <c r="BU899" s="62"/>
      <c r="BV899" s="62"/>
      <c r="BW899" s="62"/>
      <c r="BX899" s="62"/>
      <c r="BY899" s="62"/>
      <c r="BZ899" s="62"/>
      <c r="CA899" s="62"/>
      <c r="CB899" s="62"/>
    </row>
    <row r="900" ht="15.75" customHeight="1">
      <c r="A900" s="62"/>
      <c r="B900" s="79"/>
      <c r="C900" s="62"/>
      <c r="D900" s="62"/>
      <c r="E900" s="74"/>
      <c r="F900" s="62"/>
      <c r="G900" s="62"/>
      <c r="H900" s="62"/>
      <c r="I900" s="79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143"/>
      <c r="V900" s="143"/>
      <c r="W900" s="143"/>
      <c r="X900" s="62"/>
      <c r="Y900" s="62"/>
      <c r="Z900" s="143"/>
      <c r="AA900" s="143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78"/>
      <c r="BD900" s="78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62"/>
      <c r="BS900" s="62"/>
      <c r="BT900" s="62"/>
      <c r="BU900" s="62"/>
      <c r="BV900" s="62"/>
      <c r="BW900" s="62"/>
      <c r="BX900" s="62"/>
      <c r="BY900" s="62"/>
      <c r="BZ900" s="62"/>
      <c r="CA900" s="62"/>
      <c r="CB900" s="62"/>
    </row>
    <row r="901" ht="15.75" customHeight="1">
      <c r="A901" s="62"/>
      <c r="B901" s="79"/>
      <c r="C901" s="62"/>
      <c r="D901" s="62"/>
      <c r="E901" s="74"/>
      <c r="F901" s="62"/>
      <c r="G901" s="62"/>
      <c r="H901" s="62"/>
      <c r="I901" s="79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143"/>
      <c r="V901" s="143"/>
      <c r="W901" s="143"/>
      <c r="X901" s="62"/>
      <c r="Y901" s="62"/>
      <c r="Z901" s="143"/>
      <c r="AA901" s="143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78"/>
      <c r="BD901" s="78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62"/>
      <c r="BS901" s="62"/>
      <c r="BT901" s="62"/>
      <c r="BU901" s="62"/>
      <c r="BV901" s="62"/>
      <c r="BW901" s="62"/>
      <c r="BX901" s="62"/>
      <c r="BY901" s="62"/>
      <c r="BZ901" s="62"/>
      <c r="CA901" s="62"/>
      <c r="CB901" s="62"/>
    </row>
    <row r="902" ht="15.75" customHeight="1">
      <c r="A902" s="62"/>
      <c r="B902" s="79"/>
      <c r="C902" s="62"/>
      <c r="D902" s="62"/>
      <c r="E902" s="74"/>
      <c r="F902" s="62"/>
      <c r="G902" s="62"/>
      <c r="H902" s="62"/>
      <c r="I902" s="79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143"/>
      <c r="V902" s="143"/>
      <c r="W902" s="143"/>
      <c r="X902" s="62"/>
      <c r="Y902" s="62"/>
      <c r="Z902" s="143"/>
      <c r="AA902" s="143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78"/>
      <c r="BD902" s="78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2"/>
      <c r="CA902" s="62"/>
      <c r="CB902" s="62"/>
    </row>
    <row r="903" ht="15.75" customHeight="1">
      <c r="A903" s="62"/>
      <c r="B903" s="79"/>
      <c r="C903" s="62"/>
      <c r="D903" s="62"/>
      <c r="E903" s="74"/>
      <c r="F903" s="62"/>
      <c r="G903" s="62"/>
      <c r="H903" s="62"/>
      <c r="I903" s="79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143"/>
      <c r="V903" s="143"/>
      <c r="W903" s="143"/>
      <c r="X903" s="62"/>
      <c r="Y903" s="62"/>
      <c r="Z903" s="143"/>
      <c r="AA903" s="143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78"/>
      <c r="BD903" s="78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62"/>
      <c r="BS903" s="62"/>
      <c r="BT903" s="62"/>
      <c r="BU903" s="62"/>
      <c r="BV903" s="62"/>
      <c r="BW903" s="62"/>
      <c r="BX903" s="62"/>
      <c r="BY903" s="62"/>
      <c r="BZ903" s="62"/>
      <c r="CA903" s="62"/>
      <c r="CB903" s="62"/>
    </row>
    <row r="904" ht="15.75" customHeight="1">
      <c r="A904" s="62"/>
      <c r="B904" s="79"/>
      <c r="C904" s="62"/>
      <c r="D904" s="62"/>
      <c r="E904" s="74"/>
      <c r="F904" s="62"/>
      <c r="G904" s="62"/>
      <c r="H904" s="62"/>
      <c r="I904" s="79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143"/>
      <c r="V904" s="143"/>
      <c r="W904" s="143"/>
      <c r="X904" s="62"/>
      <c r="Y904" s="62"/>
      <c r="Z904" s="143"/>
      <c r="AA904" s="143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78"/>
      <c r="BD904" s="78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62"/>
      <c r="BS904" s="62"/>
      <c r="BT904" s="62"/>
      <c r="BU904" s="62"/>
      <c r="BV904" s="62"/>
      <c r="BW904" s="62"/>
      <c r="BX904" s="62"/>
      <c r="BY904" s="62"/>
      <c r="BZ904" s="62"/>
      <c r="CA904" s="62"/>
      <c r="CB904" s="62"/>
    </row>
    <row r="905" ht="15.75" customHeight="1">
      <c r="A905" s="62"/>
      <c r="B905" s="79"/>
      <c r="C905" s="62"/>
      <c r="D905" s="62"/>
      <c r="E905" s="74"/>
      <c r="F905" s="62"/>
      <c r="G905" s="62"/>
      <c r="H905" s="62"/>
      <c r="I905" s="79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143"/>
      <c r="V905" s="143"/>
      <c r="W905" s="143"/>
      <c r="X905" s="62"/>
      <c r="Y905" s="62"/>
      <c r="Z905" s="143"/>
      <c r="AA905" s="143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78"/>
      <c r="BD905" s="78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62"/>
      <c r="BS905" s="62"/>
      <c r="BT905" s="62"/>
      <c r="BU905" s="62"/>
      <c r="BV905" s="62"/>
      <c r="BW905" s="62"/>
      <c r="BX905" s="62"/>
      <c r="BY905" s="62"/>
      <c r="BZ905" s="62"/>
      <c r="CA905" s="62"/>
      <c r="CB905" s="62"/>
    </row>
    <row r="906" ht="15.75" customHeight="1">
      <c r="A906" s="62"/>
      <c r="B906" s="79"/>
      <c r="C906" s="62"/>
      <c r="D906" s="62"/>
      <c r="E906" s="74"/>
      <c r="F906" s="62"/>
      <c r="G906" s="62"/>
      <c r="H906" s="62"/>
      <c r="I906" s="79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143"/>
      <c r="V906" s="143"/>
      <c r="W906" s="143"/>
      <c r="X906" s="62"/>
      <c r="Y906" s="62"/>
      <c r="Z906" s="143"/>
      <c r="AA906" s="143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78"/>
      <c r="BD906" s="78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62"/>
      <c r="BS906" s="62"/>
      <c r="BT906" s="62"/>
      <c r="BU906" s="62"/>
      <c r="BV906" s="62"/>
      <c r="BW906" s="62"/>
      <c r="BX906" s="62"/>
      <c r="BY906" s="62"/>
      <c r="BZ906" s="62"/>
      <c r="CA906" s="62"/>
      <c r="CB906" s="62"/>
    </row>
    <row r="907" ht="15.75" customHeight="1">
      <c r="A907" s="62"/>
      <c r="B907" s="79"/>
      <c r="C907" s="62"/>
      <c r="D907" s="62"/>
      <c r="E907" s="74"/>
      <c r="F907" s="62"/>
      <c r="G907" s="62"/>
      <c r="H907" s="62"/>
      <c r="I907" s="79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143"/>
      <c r="V907" s="143"/>
      <c r="W907" s="143"/>
      <c r="X907" s="62"/>
      <c r="Y907" s="62"/>
      <c r="Z907" s="143"/>
      <c r="AA907" s="143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78"/>
      <c r="BD907" s="78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62"/>
      <c r="BS907" s="62"/>
      <c r="BT907" s="62"/>
      <c r="BU907" s="62"/>
      <c r="BV907" s="62"/>
      <c r="BW907" s="62"/>
      <c r="BX907" s="62"/>
      <c r="BY907" s="62"/>
      <c r="BZ907" s="62"/>
      <c r="CA907" s="62"/>
      <c r="CB907" s="62"/>
    </row>
    <row r="908" ht="15.75" customHeight="1">
      <c r="A908" s="62"/>
      <c r="B908" s="79"/>
      <c r="C908" s="62"/>
      <c r="D908" s="62"/>
      <c r="E908" s="74"/>
      <c r="F908" s="62"/>
      <c r="G908" s="62"/>
      <c r="H908" s="62"/>
      <c r="I908" s="79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143"/>
      <c r="V908" s="143"/>
      <c r="W908" s="143"/>
      <c r="X908" s="62"/>
      <c r="Y908" s="62"/>
      <c r="Z908" s="143"/>
      <c r="AA908" s="143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78"/>
      <c r="BD908" s="78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62"/>
      <c r="BS908" s="62"/>
      <c r="BT908" s="62"/>
      <c r="BU908" s="62"/>
      <c r="BV908" s="62"/>
      <c r="BW908" s="62"/>
      <c r="BX908" s="62"/>
      <c r="BY908" s="62"/>
      <c r="BZ908" s="62"/>
      <c r="CA908" s="62"/>
      <c r="CB908" s="62"/>
    </row>
    <row r="909" ht="15.75" customHeight="1">
      <c r="A909" s="62"/>
      <c r="B909" s="79"/>
      <c r="C909" s="62"/>
      <c r="D909" s="62"/>
      <c r="E909" s="74"/>
      <c r="F909" s="62"/>
      <c r="G909" s="62"/>
      <c r="H909" s="62"/>
      <c r="I909" s="79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143"/>
      <c r="V909" s="143"/>
      <c r="W909" s="143"/>
      <c r="X909" s="62"/>
      <c r="Y909" s="62"/>
      <c r="Z909" s="143"/>
      <c r="AA909" s="143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78"/>
      <c r="BD909" s="78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62"/>
      <c r="BS909" s="62"/>
      <c r="BT909" s="62"/>
      <c r="BU909" s="62"/>
      <c r="BV909" s="62"/>
      <c r="BW909" s="62"/>
      <c r="BX909" s="62"/>
      <c r="BY909" s="62"/>
      <c r="BZ909" s="62"/>
      <c r="CA909" s="62"/>
      <c r="CB909" s="62"/>
    </row>
    <row r="910" ht="15.75" customHeight="1">
      <c r="A910" s="62"/>
      <c r="B910" s="79"/>
      <c r="C910" s="62"/>
      <c r="D910" s="62"/>
      <c r="E910" s="74"/>
      <c r="F910" s="62"/>
      <c r="G910" s="62"/>
      <c r="H910" s="62"/>
      <c r="I910" s="79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143"/>
      <c r="V910" s="143"/>
      <c r="W910" s="143"/>
      <c r="X910" s="62"/>
      <c r="Y910" s="62"/>
      <c r="Z910" s="143"/>
      <c r="AA910" s="143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78"/>
      <c r="BD910" s="78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62"/>
      <c r="BS910" s="62"/>
      <c r="BT910" s="62"/>
      <c r="BU910" s="62"/>
      <c r="BV910" s="62"/>
      <c r="BW910" s="62"/>
      <c r="BX910" s="62"/>
      <c r="BY910" s="62"/>
      <c r="BZ910" s="62"/>
      <c r="CA910" s="62"/>
      <c r="CB910" s="62"/>
    </row>
    <row r="911" ht="15.75" customHeight="1">
      <c r="A911" s="62"/>
      <c r="B911" s="79"/>
      <c r="C911" s="62"/>
      <c r="D911" s="62"/>
      <c r="E911" s="74"/>
      <c r="F911" s="62"/>
      <c r="G911" s="62"/>
      <c r="H911" s="62"/>
      <c r="I911" s="79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143"/>
      <c r="V911" s="143"/>
      <c r="W911" s="143"/>
      <c r="X911" s="62"/>
      <c r="Y911" s="62"/>
      <c r="Z911" s="143"/>
      <c r="AA911" s="143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78"/>
      <c r="BD911" s="78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62"/>
      <c r="BS911" s="62"/>
      <c r="BT911" s="62"/>
      <c r="BU911" s="62"/>
      <c r="BV911" s="62"/>
      <c r="BW911" s="62"/>
      <c r="BX911" s="62"/>
      <c r="BY911" s="62"/>
      <c r="BZ911" s="62"/>
      <c r="CA911" s="62"/>
      <c r="CB911" s="62"/>
    </row>
    <row r="912" ht="15.75" customHeight="1">
      <c r="A912" s="62"/>
      <c r="B912" s="79"/>
      <c r="C912" s="62"/>
      <c r="D912" s="62"/>
      <c r="E912" s="74"/>
      <c r="F912" s="62"/>
      <c r="G912" s="62"/>
      <c r="H912" s="62"/>
      <c r="I912" s="79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143"/>
      <c r="V912" s="143"/>
      <c r="W912" s="143"/>
      <c r="X912" s="62"/>
      <c r="Y912" s="62"/>
      <c r="Z912" s="143"/>
      <c r="AA912" s="143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78"/>
      <c r="BD912" s="78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62"/>
      <c r="BS912" s="62"/>
      <c r="BT912" s="62"/>
      <c r="BU912" s="62"/>
      <c r="BV912" s="62"/>
      <c r="BW912" s="62"/>
      <c r="BX912" s="62"/>
      <c r="BY912" s="62"/>
      <c r="BZ912" s="62"/>
      <c r="CA912" s="62"/>
      <c r="CB912" s="62"/>
    </row>
    <row r="913" ht="15.75" customHeight="1">
      <c r="A913" s="62"/>
      <c r="B913" s="79"/>
      <c r="C913" s="62"/>
      <c r="D913" s="62"/>
      <c r="E913" s="74"/>
      <c r="F913" s="62"/>
      <c r="G913" s="62"/>
      <c r="H913" s="62"/>
      <c r="I913" s="79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143"/>
      <c r="V913" s="143"/>
      <c r="W913" s="143"/>
      <c r="X913" s="62"/>
      <c r="Y913" s="62"/>
      <c r="Z913" s="143"/>
      <c r="AA913" s="143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78"/>
      <c r="BD913" s="78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62"/>
      <c r="BS913" s="62"/>
      <c r="BT913" s="62"/>
      <c r="BU913" s="62"/>
      <c r="BV913" s="62"/>
      <c r="BW913" s="62"/>
      <c r="BX913" s="62"/>
      <c r="BY913" s="62"/>
      <c r="BZ913" s="62"/>
      <c r="CA913" s="62"/>
      <c r="CB913" s="62"/>
    </row>
    <row r="914" ht="15.75" customHeight="1">
      <c r="A914" s="62"/>
      <c r="B914" s="79"/>
      <c r="C914" s="62"/>
      <c r="D914" s="62"/>
      <c r="E914" s="74"/>
      <c r="F914" s="62"/>
      <c r="G914" s="62"/>
      <c r="H914" s="62"/>
      <c r="I914" s="79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143"/>
      <c r="V914" s="143"/>
      <c r="W914" s="143"/>
      <c r="X914" s="62"/>
      <c r="Y914" s="62"/>
      <c r="Z914" s="143"/>
      <c r="AA914" s="143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78"/>
      <c r="BD914" s="78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62"/>
      <c r="BS914" s="62"/>
      <c r="BT914" s="62"/>
      <c r="BU914" s="62"/>
      <c r="BV914" s="62"/>
      <c r="BW914" s="62"/>
      <c r="BX914" s="62"/>
      <c r="BY914" s="62"/>
      <c r="BZ914" s="62"/>
      <c r="CA914" s="62"/>
      <c r="CB914" s="62"/>
    </row>
    <row r="915" ht="15.75" customHeight="1">
      <c r="A915" s="62"/>
      <c r="B915" s="79"/>
      <c r="C915" s="62"/>
      <c r="D915" s="62"/>
      <c r="E915" s="74"/>
      <c r="F915" s="62"/>
      <c r="G915" s="62"/>
      <c r="H915" s="62"/>
      <c r="I915" s="79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143"/>
      <c r="V915" s="143"/>
      <c r="W915" s="143"/>
      <c r="X915" s="62"/>
      <c r="Y915" s="62"/>
      <c r="Z915" s="143"/>
      <c r="AA915" s="143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78"/>
      <c r="BD915" s="78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62"/>
      <c r="BS915" s="62"/>
      <c r="BT915" s="62"/>
      <c r="BU915" s="62"/>
      <c r="BV915" s="62"/>
      <c r="BW915" s="62"/>
      <c r="BX915" s="62"/>
      <c r="BY915" s="62"/>
      <c r="BZ915" s="62"/>
      <c r="CA915" s="62"/>
      <c r="CB915" s="62"/>
    </row>
    <row r="916" ht="15.75" customHeight="1">
      <c r="A916" s="62"/>
      <c r="B916" s="79"/>
      <c r="C916" s="62"/>
      <c r="D916" s="62"/>
      <c r="E916" s="74"/>
      <c r="F916" s="62"/>
      <c r="G916" s="62"/>
      <c r="H916" s="62"/>
      <c r="I916" s="79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143"/>
      <c r="V916" s="143"/>
      <c r="W916" s="143"/>
      <c r="X916" s="62"/>
      <c r="Y916" s="62"/>
      <c r="Z916" s="143"/>
      <c r="AA916" s="143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78"/>
      <c r="BD916" s="78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62"/>
      <c r="BS916" s="62"/>
      <c r="BT916" s="62"/>
      <c r="BU916" s="62"/>
      <c r="BV916" s="62"/>
      <c r="BW916" s="62"/>
      <c r="BX916" s="62"/>
      <c r="BY916" s="62"/>
      <c r="BZ916" s="62"/>
      <c r="CA916" s="62"/>
      <c r="CB916" s="62"/>
    </row>
    <row r="917" ht="15.75" customHeight="1">
      <c r="A917" s="62"/>
      <c r="B917" s="79"/>
      <c r="C917" s="62"/>
      <c r="D917" s="62"/>
      <c r="E917" s="74"/>
      <c r="F917" s="62"/>
      <c r="G917" s="62"/>
      <c r="H917" s="62"/>
      <c r="I917" s="79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143"/>
      <c r="V917" s="143"/>
      <c r="W917" s="143"/>
      <c r="X917" s="62"/>
      <c r="Y917" s="62"/>
      <c r="Z917" s="143"/>
      <c r="AA917" s="143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78"/>
      <c r="BD917" s="78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62"/>
      <c r="BS917" s="62"/>
      <c r="BT917" s="62"/>
      <c r="BU917" s="62"/>
      <c r="BV917" s="62"/>
      <c r="BW917" s="62"/>
      <c r="BX917" s="62"/>
      <c r="BY917" s="62"/>
      <c r="BZ917" s="62"/>
      <c r="CA917" s="62"/>
      <c r="CB917" s="62"/>
    </row>
    <row r="918" ht="15.75" customHeight="1">
      <c r="A918" s="62"/>
      <c r="B918" s="79"/>
      <c r="C918" s="62"/>
      <c r="D918" s="62"/>
      <c r="E918" s="74"/>
      <c r="F918" s="62"/>
      <c r="G918" s="62"/>
      <c r="H918" s="62"/>
      <c r="I918" s="79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143"/>
      <c r="V918" s="143"/>
      <c r="W918" s="143"/>
      <c r="X918" s="62"/>
      <c r="Y918" s="62"/>
      <c r="Z918" s="143"/>
      <c r="AA918" s="143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78"/>
      <c r="BD918" s="78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62"/>
      <c r="BS918" s="62"/>
      <c r="BT918" s="62"/>
      <c r="BU918" s="62"/>
      <c r="BV918" s="62"/>
      <c r="BW918" s="62"/>
      <c r="BX918" s="62"/>
      <c r="BY918" s="62"/>
      <c r="BZ918" s="62"/>
      <c r="CA918" s="62"/>
      <c r="CB918" s="62"/>
    </row>
    <row r="919" ht="15.75" customHeight="1">
      <c r="A919" s="62"/>
      <c r="B919" s="79"/>
      <c r="C919" s="62"/>
      <c r="D919" s="62"/>
      <c r="E919" s="74"/>
      <c r="F919" s="62"/>
      <c r="G919" s="62"/>
      <c r="H919" s="62"/>
      <c r="I919" s="79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143"/>
      <c r="V919" s="143"/>
      <c r="W919" s="143"/>
      <c r="X919" s="62"/>
      <c r="Y919" s="62"/>
      <c r="Z919" s="143"/>
      <c r="AA919" s="143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78"/>
      <c r="BD919" s="78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62"/>
      <c r="BS919" s="62"/>
      <c r="BT919" s="62"/>
      <c r="BU919" s="62"/>
      <c r="BV919" s="62"/>
      <c r="BW919" s="62"/>
      <c r="BX919" s="62"/>
      <c r="BY919" s="62"/>
      <c r="BZ919" s="62"/>
      <c r="CA919" s="62"/>
      <c r="CB919" s="62"/>
    </row>
    <row r="920" ht="15.75" customHeight="1">
      <c r="A920" s="62"/>
      <c r="B920" s="79"/>
      <c r="C920" s="62"/>
      <c r="D920" s="62"/>
      <c r="E920" s="74"/>
      <c r="F920" s="62"/>
      <c r="G920" s="62"/>
      <c r="H920" s="62"/>
      <c r="I920" s="79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143"/>
      <c r="V920" s="143"/>
      <c r="W920" s="143"/>
      <c r="X920" s="62"/>
      <c r="Y920" s="62"/>
      <c r="Z920" s="143"/>
      <c r="AA920" s="143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78"/>
      <c r="BD920" s="78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  <c r="BS920" s="62"/>
      <c r="BT920" s="62"/>
      <c r="BU920" s="62"/>
      <c r="BV920" s="62"/>
      <c r="BW920" s="62"/>
      <c r="BX920" s="62"/>
      <c r="BY920" s="62"/>
      <c r="BZ920" s="62"/>
      <c r="CA920" s="62"/>
      <c r="CB920" s="62"/>
    </row>
    <row r="921" ht="15.75" customHeight="1">
      <c r="A921" s="62"/>
      <c r="B921" s="79"/>
      <c r="C921" s="62"/>
      <c r="D921" s="62"/>
      <c r="E921" s="74"/>
      <c r="F921" s="62"/>
      <c r="G921" s="62"/>
      <c r="H921" s="62"/>
      <c r="I921" s="79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143"/>
      <c r="V921" s="143"/>
      <c r="W921" s="143"/>
      <c r="X921" s="62"/>
      <c r="Y921" s="62"/>
      <c r="Z921" s="143"/>
      <c r="AA921" s="143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78"/>
      <c r="BD921" s="78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62"/>
      <c r="BS921" s="62"/>
      <c r="BT921" s="62"/>
      <c r="BU921" s="62"/>
      <c r="BV921" s="62"/>
      <c r="BW921" s="62"/>
      <c r="BX921" s="62"/>
      <c r="BY921" s="62"/>
      <c r="BZ921" s="62"/>
      <c r="CA921" s="62"/>
      <c r="CB921" s="62"/>
    </row>
    <row r="922" ht="15.75" customHeight="1">
      <c r="A922" s="62"/>
      <c r="B922" s="79"/>
      <c r="C922" s="62"/>
      <c r="D922" s="62"/>
      <c r="E922" s="74"/>
      <c r="F922" s="62"/>
      <c r="G922" s="62"/>
      <c r="H922" s="62"/>
      <c r="I922" s="79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143"/>
      <c r="V922" s="143"/>
      <c r="W922" s="143"/>
      <c r="X922" s="62"/>
      <c r="Y922" s="62"/>
      <c r="Z922" s="143"/>
      <c r="AA922" s="143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78"/>
      <c r="BD922" s="78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</row>
    <row r="923" ht="15.75" customHeight="1">
      <c r="A923" s="62"/>
      <c r="B923" s="79"/>
      <c r="C923" s="62"/>
      <c r="D923" s="62"/>
      <c r="E923" s="74"/>
      <c r="F923" s="62"/>
      <c r="G923" s="62"/>
      <c r="H923" s="62"/>
      <c r="I923" s="79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143"/>
      <c r="V923" s="143"/>
      <c r="W923" s="143"/>
      <c r="X923" s="62"/>
      <c r="Y923" s="62"/>
      <c r="Z923" s="143"/>
      <c r="AA923" s="143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78"/>
      <c r="BD923" s="78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</row>
    <row r="924" ht="15.75" customHeight="1">
      <c r="A924" s="62"/>
      <c r="B924" s="79"/>
      <c r="C924" s="62"/>
      <c r="D924" s="62"/>
      <c r="E924" s="74"/>
      <c r="F924" s="62"/>
      <c r="G924" s="62"/>
      <c r="H924" s="62"/>
      <c r="I924" s="79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143"/>
      <c r="V924" s="143"/>
      <c r="W924" s="143"/>
      <c r="X924" s="62"/>
      <c r="Y924" s="62"/>
      <c r="Z924" s="143"/>
      <c r="AA924" s="143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78"/>
      <c r="BD924" s="78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</row>
    <row r="925" ht="15.75" customHeight="1">
      <c r="A925" s="62"/>
      <c r="B925" s="79"/>
      <c r="C925" s="62"/>
      <c r="D925" s="62"/>
      <c r="E925" s="74"/>
      <c r="F925" s="62"/>
      <c r="G925" s="62"/>
      <c r="H925" s="62"/>
      <c r="I925" s="79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143"/>
      <c r="V925" s="143"/>
      <c r="W925" s="143"/>
      <c r="X925" s="62"/>
      <c r="Y925" s="62"/>
      <c r="Z925" s="143"/>
      <c r="AA925" s="143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78"/>
      <c r="BD925" s="78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</row>
    <row r="926" ht="15.75" customHeight="1">
      <c r="A926" s="62"/>
      <c r="B926" s="79"/>
      <c r="C926" s="62"/>
      <c r="D926" s="62"/>
      <c r="E926" s="74"/>
      <c r="F926" s="62"/>
      <c r="G926" s="62"/>
      <c r="H926" s="62"/>
      <c r="I926" s="79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143"/>
      <c r="V926" s="143"/>
      <c r="W926" s="143"/>
      <c r="X926" s="62"/>
      <c r="Y926" s="62"/>
      <c r="Z926" s="143"/>
      <c r="AA926" s="143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78"/>
      <c r="BD926" s="78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</row>
    <row r="927" ht="15.75" customHeight="1">
      <c r="A927" s="62"/>
      <c r="B927" s="79"/>
      <c r="C927" s="62"/>
      <c r="D927" s="62"/>
      <c r="E927" s="74"/>
      <c r="F927" s="62"/>
      <c r="G927" s="62"/>
      <c r="H927" s="62"/>
      <c r="I927" s="79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143"/>
      <c r="V927" s="143"/>
      <c r="W927" s="143"/>
      <c r="X927" s="62"/>
      <c r="Y927" s="62"/>
      <c r="Z927" s="143"/>
      <c r="AA927" s="143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78"/>
      <c r="BD927" s="78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</row>
    <row r="928" ht="15.75" customHeight="1">
      <c r="A928" s="62"/>
      <c r="B928" s="79"/>
      <c r="C928" s="62"/>
      <c r="D928" s="62"/>
      <c r="E928" s="74"/>
      <c r="F928" s="62"/>
      <c r="G928" s="62"/>
      <c r="H928" s="62"/>
      <c r="I928" s="79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143"/>
      <c r="V928" s="143"/>
      <c r="W928" s="143"/>
      <c r="X928" s="62"/>
      <c r="Y928" s="62"/>
      <c r="Z928" s="143"/>
      <c r="AA928" s="143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78"/>
      <c r="BD928" s="78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</row>
    <row r="929" ht="15.75" customHeight="1">
      <c r="A929" s="62"/>
      <c r="B929" s="79"/>
      <c r="C929" s="62"/>
      <c r="D929" s="62"/>
      <c r="E929" s="74"/>
      <c r="F929" s="62"/>
      <c r="G929" s="62"/>
      <c r="H929" s="62"/>
      <c r="I929" s="79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143"/>
      <c r="V929" s="143"/>
      <c r="W929" s="143"/>
      <c r="X929" s="62"/>
      <c r="Y929" s="62"/>
      <c r="Z929" s="143"/>
      <c r="AA929" s="143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78"/>
      <c r="BD929" s="78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</row>
    <row r="930" ht="15.75" customHeight="1">
      <c r="A930" s="62"/>
      <c r="B930" s="79"/>
      <c r="C930" s="62"/>
      <c r="D930" s="62"/>
      <c r="E930" s="74"/>
      <c r="F930" s="62"/>
      <c r="G930" s="62"/>
      <c r="H930" s="62"/>
      <c r="I930" s="79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143"/>
      <c r="V930" s="143"/>
      <c r="W930" s="143"/>
      <c r="X930" s="62"/>
      <c r="Y930" s="62"/>
      <c r="Z930" s="143"/>
      <c r="AA930" s="143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78"/>
      <c r="BD930" s="78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</row>
    <row r="931" ht="15.75" customHeight="1">
      <c r="A931" s="62"/>
      <c r="B931" s="79"/>
      <c r="C931" s="62"/>
      <c r="D931" s="62"/>
      <c r="E931" s="74"/>
      <c r="F931" s="62"/>
      <c r="G931" s="62"/>
      <c r="H931" s="62"/>
      <c r="I931" s="79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143"/>
      <c r="V931" s="143"/>
      <c r="W931" s="143"/>
      <c r="X931" s="62"/>
      <c r="Y931" s="62"/>
      <c r="Z931" s="143"/>
      <c r="AA931" s="143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78"/>
      <c r="BD931" s="78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</row>
    <row r="932" ht="15.75" customHeight="1">
      <c r="A932" s="62"/>
      <c r="B932" s="79"/>
      <c r="C932" s="62"/>
      <c r="D932" s="62"/>
      <c r="E932" s="74"/>
      <c r="F932" s="62"/>
      <c r="G932" s="62"/>
      <c r="H932" s="62"/>
      <c r="I932" s="79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143"/>
      <c r="V932" s="143"/>
      <c r="W932" s="143"/>
      <c r="X932" s="62"/>
      <c r="Y932" s="62"/>
      <c r="Z932" s="143"/>
      <c r="AA932" s="143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78"/>
      <c r="BD932" s="78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62"/>
      <c r="BS932" s="62"/>
      <c r="BT932" s="62"/>
      <c r="BU932" s="62"/>
      <c r="BV932" s="62"/>
      <c r="BW932" s="62"/>
      <c r="BX932" s="62"/>
      <c r="BY932" s="62"/>
      <c r="BZ932" s="62"/>
      <c r="CA932" s="62"/>
      <c r="CB932" s="62"/>
    </row>
    <row r="933" ht="15.75" customHeight="1">
      <c r="A933" s="62"/>
      <c r="B933" s="79"/>
      <c r="C933" s="62"/>
      <c r="D933" s="62"/>
      <c r="E933" s="74"/>
      <c r="F933" s="62"/>
      <c r="G933" s="62"/>
      <c r="H933" s="62"/>
      <c r="I933" s="79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143"/>
      <c r="V933" s="143"/>
      <c r="W933" s="143"/>
      <c r="X933" s="62"/>
      <c r="Y933" s="62"/>
      <c r="Z933" s="143"/>
      <c r="AA933" s="143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78"/>
      <c r="BD933" s="78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62"/>
      <c r="BS933" s="62"/>
      <c r="BT933" s="62"/>
      <c r="BU933" s="62"/>
      <c r="BV933" s="62"/>
      <c r="BW933" s="62"/>
      <c r="BX933" s="62"/>
      <c r="BY933" s="62"/>
      <c r="BZ933" s="62"/>
      <c r="CA933" s="62"/>
      <c r="CB933" s="62"/>
    </row>
    <row r="934" ht="15.75" customHeight="1">
      <c r="A934" s="62"/>
      <c r="B934" s="79"/>
      <c r="C934" s="62"/>
      <c r="D934" s="62"/>
      <c r="E934" s="74"/>
      <c r="F934" s="62"/>
      <c r="G934" s="62"/>
      <c r="H934" s="62"/>
      <c r="I934" s="79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143"/>
      <c r="V934" s="143"/>
      <c r="W934" s="143"/>
      <c r="X934" s="62"/>
      <c r="Y934" s="62"/>
      <c r="Z934" s="143"/>
      <c r="AA934" s="143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78"/>
      <c r="BD934" s="78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  <c r="BS934" s="62"/>
      <c r="BT934" s="62"/>
      <c r="BU934" s="62"/>
      <c r="BV934" s="62"/>
      <c r="BW934" s="62"/>
      <c r="BX934" s="62"/>
      <c r="BY934" s="62"/>
      <c r="BZ934" s="62"/>
      <c r="CA934" s="62"/>
      <c r="CB934" s="62"/>
    </row>
    <row r="935" ht="15.75" customHeight="1">
      <c r="A935" s="62"/>
      <c r="B935" s="79"/>
      <c r="C935" s="62"/>
      <c r="D935" s="62"/>
      <c r="E935" s="74"/>
      <c r="F935" s="62"/>
      <c r="G935" s="62"/>
      <c r="H935" s="62"/>
      <c r="I935" s="79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143"/>
      <c r="V935" s="143"/>
      <c r="W935" s="143"/>
      <c r="X935" s="62"/>
      <c r="Y935" s="62"/>
      <c r="Z935" s="143"/>
      <c r="AA935" s="143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78"/>
      <c r="BD935" s="78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  <c r="BS935" s="62"/>
      <c r="BT935" s="62"/>
      <c r="BU935" s="62"/>
      <c r="BV935" s="62"/>
      <c r="BW935" s="62"/>
      <c r="BX935" s="62"/>
      <c r="BY935" s="62"/>
      <c r="BZ935" s="62"/>
      <c r="CA935" s="62"/>
      <c r="CB935" s="62"/>
    </row>
    <row r="936" ht="15.75" customHeight="1">
      <c r="A936" s="62"/>
      <c r="B936" s="79"/>
      <c r="C936" s="62"/>
      <c r="D936" s="62"/>
      <c r="E936" s="74"/>
      <c r="F936" s="62"/>
      <c r="G936" s="62"/>
      <c r="H936" s="62"/>
      <c r="I936" s="79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143"/>
      <c r="V936" s="143"/>
      <c r="W936" s="143"/>
      <c r="X936" s="62"/>
      <c r="Y936" s="62"/>
      <c r="Z936" s="143"/>
      <c r="AA936" s="143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78"/>
      <c r="BD936" s="78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62"/>
      <c r="BS936" s="62"/>
      <c r="BT936" s="62"/>
      <c r="BU936" s="62"/>
      <c r="BV936" s="62"/>
      <c r="BW936" s="62"/>
      <c r="BX936" s="62"/>
      <c r="BY936" s="62"/>
      <c r="BZ936" s="62"/>
      <c r="CA936" s="62"/>
      <c r="CB936" s="62"/>
    </row>
    <row r="937" ht="15.75" customHeight="1">
      <c r="A937" s="62"/>
      <c r="B937" s="79"/>
      <c r="C937" s="62"/>
      <c r="D937" s="62"/>
      <c r="E937" s="74"/>
      <c r="F937" s="62"/>
      <c r="G937" s="62"/>
      <c r="H937" s="62"/>
      <c r="I937" s="79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143"/>
      <c r="V937" s="143"/>
      <c r="W937" s="143"/>
      <c r="X937" s="62"/>
      <c r="Y937" s="62"/>
      <c r="Z937" s="143"/>
      <c r="AA937" s="143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78"/>
      <c r="BD937" s="78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62"/>
      <c r="BS937" s="62"/>
      <c r="BT937" s="62"/>
      <c r="BU937" s="62"/>
      <c r="BV937" s="62"/>
      <c r="BW937" s="62"/>
      <c r="BX937" s="62"/>
      <c r="BY937" s="62"/>
      <c r="BZ937" s="62"/>
      <c r="CA937" s="62"/>
      <c r="CB937" s="62"/>
    </row>
    <row r="938" ht="15.75" customHeight="1">
      <c r="A938" s="62"/>
      <c r="B938" s="79"/>
      <c r="C938" s="62"/>
      <c r="D938" s="62"/>
      <c r="E938" s="74"/>
      <c r="F938" s="62"/>
      <c r="G938" s="62"/>
      <c r="H938" s="62"/>
      <c r="I938" s="79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143"/>
      <c r="V938" s="143"/>
      <c r="W938" s="143"/>
      <c r="X938" s="62"/>
      <c r="Y938" s="62"/>
      <c r="Z938" s="143"/>
      <c r="AA938" s="143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78"/>
      <c r="BD938" s="78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62"/>
      <c r="BS938" s="62"/>
      <c r="BT938" s="62"/>
      <c r="BU938" s="62"/>
      <c r="BV938" s="62"/>
      <c r="BW938" s="62"/>
      <c r="BX938" s="62"/>
      <c r="BY938" s="62"/>
      <c r="BZ938" s="62"/>
      <c r="CA938" s="62"/>
      <c r="CB938" s="62"/>
    </row>
    <row r="939" ht="15.75" customHeight="1">
      <c r="A939" s="62"/>
      <c r="B939" s="79"/>
      <c r="C939" s="62"/>
      <c r="D939" s="62"/>
      <c r="E939" s="74"/>
      <c r="F939" s="62"/>
      <c r="G939" s="62"/>
      <c r="H939" s="62"/>
      <c r="I939" s="79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143"/>
      <c r="V939" s="143"/>
      <c r="W939" s="143"/>
      <c r="X939" s="62"/>
      <c r="Y939" s="62"/>
      <c r="Z939" s="143"/>
      <c r="AA939" s="143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78"/>
      <c r="BD939" s="78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62"/>
      <c r="BS939" s="62"/>
      <c r="BT939" s="62"/>
      <c r="BU939" s="62"/>
      <c r="BV939" s="62"/>
      <c r="BW939" s="62"/>
      <c r="BX939" s="62"/>
      <c r="BY939" s="62"/>
      <c r="BZ939" s="62"/>
      <c r="CA939" s="62"/>
      <c r="CB939" s="62"/>
    </row>
    <row r="940" ht="15.75" customHeight="1">
      <c r="A940" s="62"/>
      <c r="B940" s="79"/>
      <c r="C940" s="62"/>
      <c r="D940" s="62"/>
      <c r="E940" s="74"/>
      <c r="F940" s="62"/>
      <c r="G940" s="62"/>
      <c r="H940" s="62"/>
      <c r="I940" s="79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143"/>
      <c r="V940" s="143"/>
      <c r="W940" s="143"/>
      <c r="X940" s="62"/>
      <c r="Y940" s="62"/>
      <c r="Z940" s="143"/>
      <c r="AA940" s="143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78"/>
      <c r="BD940" s="78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62"/>
      <c r="BS940" s="62"/>
      <c r="BT940" s="62"/>
      <c r="BU940" s="62"/>
      <c r="BV940" s="62"/>
      <c r="BW940" s="62"/>
      <c r="BX940" s="62"/>
      <c r="BY940" s="62"/>
      <c r="BZ940" s="62"/>
      <c r="CA940" s="62"/>
      <c r="CB940" s="62"/>
    </row>
    <row r="941" ht="15.75" customHeight="1">
      <c r="A941" s="62"/>
      <c r="B941" s="79"/>
      <c r="C941" s="62"/>
      <c r="D941" s="62"/>
      <c r="E941" s="74"/>
      <c r="F941" s="62"/>
      <c r="G941" s="62"/>
      <c r="H941" s="62"/>
      <c r="I941" s="79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143"/>
      <c r="V941" s="143"/>
      <c r="W941" s="143"/>
      <c r="X941" s="62"/>
      <c r="Y941" s="62"/>
      <c r="Z941" s="143"/>
      <c r="AA941" s="143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78"/>
      <c r="BD941" s="78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62"/>
      <c r="BS941" s="62"/>
      <c r="BT941" s="62"/>
      <c r="BU941" s="62"/>
      <c r="BV941" s="62"/>
      <c r="BW941" s="62"/>
      <c r="BX941" s="62"/>
      <c r="BY941" s="62"/>
      <c r="BZ941" s="62"/>
      <c r="CA941" s="62"/>
      <c r="CB941" s="62"/>
    </row>
    <row r="942" ht="15.75" customHeight="1">
      <c r="A942" s="62"/>
      <c r="B942" s="79"/>
      <c r="C942" s="62"/>
      <c r="D942" s="62"/>
      <c r="E942" s="74"/>
      <c r="F942" s="62"/>
      <c r="G942" s="62"/>
      <c r="H942" s="62"/>
      <c r="I942" s="79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143"/>
      <c r="V942" s="143"/>
      <c r="W942" s="143"/>
      <c r="X942" s="62"/>
      <c r="Y942" s="62"/>
      <c r="Z942" s="143"/>
      <c r="AA942" s="143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78"/>
      <c r="BD942" s="78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2"/>
      <c r="CA942" s="62"/>
      <c r="CB942" s="62"/>
    </row>
    <row r="943" ht="15.75" customHeight="1">
      <c r="A943" s="62"/>
      <c r="B943" s="79"/>
      <c r="C943" s="62"/>
      <c r="D943" s="62"/>
      <c r="E943" s="74"/>
      <c r="F943" s="62"/>
      <c r="G943" s="62"/>
      <c r="H943" s="62"/>
      <c r="I943" s="79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143"/>
      <c r="V943" s="143"/>
      <c r="W943" s="143"/>
      <c r="X943" s="62"/>
      <c r="Y943" s="62"/>
      <c r="Z943" s="143"/>
      <c r="AA943" s="143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78"/>
      <c r="BD943" s="78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62"/>
      <c r="BS943" s="62"/>
      <c r="BT943" s="62"/>
      <c r="BU943" s="62"/>
      <c r="BV943" s="62"/>
      <c r="BW943" s="62"/>
      <c r="BX943" s="62"/>
      <c r="BY943" s="62"/>
      <c r="BZ943" s="62"/>
      <c r="CA943" s="62"/>
      <c r="CB943" s="62"/>
    </row>
    <row r="944" ht="15.75" customHeight="1">
      <c r="A944" s="62"/>
      <c r="B944" s="79"/>
      <c r="C944" s="62"/>
      <c r="D944" s="62"/>
      <c r="E944" s="74"/>
      <c r="F944" s="62"/>
      <c r="G944" s="62"/>
      <c r="H944" s="62"/>
      <c r="I944" s="79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143"/>
      <c r="V944" s="143"/>
      <c r="W944" s="143"/>
      <c r="X944" s="62"/>
      <c r="Y944" s="62"/>
      <c r="Z944" s="143"/>
      <c r="AA944" s="143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78"/>
      <c r="BD944" s="78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62"/>
      <c r="BS944" s="62"/>
      <c r="BT944" s="62"/>
      <c r="BU944" s="62"/>
      <c r="BV944" s="62"/>
      <c r="BW944" s="62"/>
      <c r="BX944" s="62"/>
      <c r="BY944" s="62"/>
      <c r="BZ944" s="62"/>
      <c r="CA944" s="62"/>
      <c r="CB944" s="62"/>
    </row>
    <row r="945" ht="15.75" customHeight="1">
      <c r="A945" s="62"/>
      <c r="B945" s="79"/>
      <c r="C945" s="62"/>
      <c r="D945" s="62"/>
      <c r="E945" s="74"/>
      <c r="F945" s="62"/>
      <c r="G945" s="62"/>
      <c r="H945" s="62"/>
      <c r="I945" s="79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143"/>
      <c r="V945" s="143"/>
      <c r="W945" s="143"/>
      <c r="X945" s="62"/>
      <c r="Y945" s="62"/>
      <c r="Z945" s="143"/>
      <c r="AA945" s="143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78"/>
      <c r="BD945" s="78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62"/>
      <c r="BS945" s="62"/>
      <c r="BT945" s="62"/>
      <c r="BU945" s="62"/>
      <c r="BV945" s="62"/>
      <c r="BW945" s="62"/>
      <c r="BX945" s="62"/>
      <c r="BY945" s="62"/>
      <c r="BZ945" s="62"/>
      <c r="CA945" s="62"/>
      <c r="CB945" s="62"/>
    </row>
    <row r="946" ht="15.75" customHeight="1">
      <c r="A946" s="62"/>
      <c r="B946" s="79"/>
      <c r="C946" s="62"/>
      <c r="D946" s="62"/>
      <c r="E946" s="74"/>
      <c r="F946" s="62"/>
      <c r="G946" s="62"/>
      <c r="H946" s="62"/>
      <c r="I946" s="79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143"/>
      <c r="V946" s="143"/>
      <c r="W946" s="143"/>
      <c r="X946" s="62"/>
      <c r="Y946" s="62"/>
      <c r="Z946" s="143"/>
      <c r="AA946" s="143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78"/>
      <c r="BD946" s="78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62"/>
      <c r="BS946" s="62"/>
      <c r="BT946" s="62"/>
      <c r="BU946" s="62"/>
      <c r="BV946" s="62"/>
      <c r="BW946" s="62"/>
      <c r="BX946" s="62"/>
      <c r="BY946" s="62"/>
      <c r="BZ946" s="62"/>
      <c r="CA946" s="62"/>
      <c r="CB946" s="62"/>
    </row>
    <row r="947" ht="15.75" customHeight="1">
      <c r="A947" s="62"/>
      <c r="B947" s="79"/>
      <c r="C947" s="62"/>
      <c r="D947" s="62"/>
      <c r="E947" s="74"/>
      <c r="F947" s="62"/>
      <c r="G947" s="62"/>
      <c r="H947" s="62"/>
      <c r="I947" s="79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143"/>
      <c r="V947" s="143"/>
      <c r="W947" s="143"/>
      <c r="X947" s="62"/>
      <c r="Y947" s="62"/>
      <c r="Z947" s="143"/>
      <c r="AA947" s="143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78"/>
      <c r="BD947" s="78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62"/>
      <c r="BS947" s="62"/>
      <c r="BT947" s="62"/>
      <c r="BU947" s="62"/>
      <c r="BV947" s="62"/>
      <c r="BW947" s="62"/>
      <c r="BX947" s="62"/>
      <c r="BY947" s="62"/>
      <c r="BZ947" s="62"/>
      <c r="CA947" s="62"/>
      <c r="CB947" s="62"/>
    </row>
    <row r="948" ht="15.75" customHeight="1">
      <c r="A948" s="62"/>
      <c r="B948" s="79"/>
      <c r="C948" s="62"/>
      <c r="D948" s="62"/>
      <c r="E948" s="74"/>
      <c r="F948" s="62"/>
      <c r="G948" s="62"/>
      <c r="H948" s="62"/>
      <c r="I948" s="79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143"/>
      <c r="V948" s="143"/>
      <c r="W948" s="143"/>
      <c r="X948" s="62"/>
      <c r="Y948" s="62"/>
      <c r="Z948" s="143"/>
      <c r="AA948" s="143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78"/>
      <c r="BD948" s="78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62"/>
      <c r="BS948" s="62"/>
      <c r="BT948" s="62"/>
      <c r="BU948" s="62"/>
      <c r="BV948" s="62"/>
      <c r="BW948" s="62"/>
      <c r="BX948" s="62"/>
      <c r="BY948" s="62"/>
      <c r="BZ948" s="62"/>
      <c r="CA948" s="62"/>
      <c r="CB948" s="62"/>
    </row>
    <row r="949" ht="15.75" customHeight="1">
      <c r="A949" s="62"/>
      <c r="B949" s="79"/>
      <c r="C949" s="62"/>
      <c r="D949" s="62"/>
      <c r="E949" s="74"/>
      <c r="F949" s="62"/>
      <c r="G949" s="62"/>
      <c r="H949" s="62"/>
      <c r="I949" s="79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143"/>
      <c r="V949" s="143"/>
      <c r="W949" s="143"/>
      <c r="X949" s="62"/>
      <c r="Y949" s="62"/>
      <c r="Z949" s="143"/>
      <c r="AA949" s="143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78"/>
      <c r="BD949" s="78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62"/>
      <c r="BS949" s="62"/>
      <c r="BT949" s="62"/>
      <c r="BU949" s="62"/>
      <c r="BV949" s="62"/>
      <c r="BW949" s="62"/>
      <c r="BX949" s="62"/>
      <c r="BY949" s="62"/>
      <c r="BZ949" s="62"/>
      <c r="CA949" s="62"/>
      <c r="CB949" s="62"/>
    </row>
    <row r="950" ht="15.75" customHeight="1">
      <c r="A950" s="62"/>
      <c r="B950" s="79"/>
      <c r="C950" s="62"/>
      <c r="D950" s="62"/>
      <c r="E950" s="74"/>
      <c r="F950" s="62"/>
      <c r="G950" s="62"/>
      <c r="H950" s="62"/>
      <c r="I950" s="79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143"/>
      <c r="V950" s="143"/>
      <c r="W950" s="143"/>
      <c r="X950" s="62"/>
      <c r="Y950" s="62"/>
      <c r="Z950" s="143"/>
      <c r="AA950" s="143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78"/>
      <c r="BD950" s="78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62"/>
      <c r="BS950" s="62"/>
      <c r="BT950" s="62"/>
      <c r="BU950" s="62"/>
      <c r="BV950" s="62"/>
      <c r="BW950" s="62"/>
      <c r="BX950" s="62"/>
      <c r="BY950" s="62"/>
      <c r="BZ950" s="62"/>
      <c r="CA950" s="62"/>
      <c r="CB950" s="62"/>
    </row>
    <row r="951" ht="15.75" customHeight="1">
      <c r="A951" s="62"/>
      <c r="B951" s="79"/>
      <c r="C951" s="62"/>
      <c r="D951" s="62"/>
      <c r="E951" s="74"/>
      <c r="F951" s="62"/>
      <c r="G951" s="62"/>
      <c r="H951" s="62"/>
      <c r="I951" s="79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143"/>
      <c r="V951" s="143"/>
      <c r="W951" s="143"/>
      <c r="X951" s="62"/>
      <c r="Y951" s="62"/>
      <c r="Z951" s="143"/>
      <c r="AA951" s="143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78"/>
      <c r="BD951" s="78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62"/>
      <c r="BS951" s="62"/>
      <c r="BT951" s="62"/>
      <c r="BU951" s="62"/>
      <c r="BV951" s="62"/>
      <c r="BW951" s="62"/>
      <c r="BX951" s="62"/>
      <c r="BY951" s="62"/>
      <c r="BZ951" s="62"/>
      <c r="CA951" s="62"/>
      <c r="CB951" s="62"/>
    </row>
    <row r="952" ht="15.75" customHeight="1">
      <c r="A952" s="62"/>
      <c r="B952" s="79"/>
      <c r="C952" s="62"/>
      <c r="D952" s="62"/>
      <c r="E952" s="74"/>
      <c r="F952" s="62"/>
      <c r="G952" s="62"/>
      <c r="H952" s="62"/>
      <c r="I952" s="79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143"/>
      <c r="V952" s="143"/>
      <c r="W952" s="143"/>
      <c r="X952" s="62"/>
      <c r="Y952" s="62"/>
      <c r="Z952" s="143"/>
      <c r="AA952" s="143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78"/>
      <c r="BD952" s="78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62"/>
      <c r="BS952" s="62"/>
      <c r="BT952" s="62"/>
      <c r="BU952" s="62"/>
      <c r="BV952" s="62"/>
      <c r="BW952" s="62"/>
      <c r="BX952" s="62"/>
      <c r="BY952" s="62"/>
      <c r="BZ952" s="62"/>
      <c r="CA952" s="62"/>
      <c r="CB952" s="62"/>
    </row>
    <row r="953" ht="15.75" customHeight="1">
      <c r="A953" s="62"/>
      <c r="B953" s="79"/>
      <c r="C953" s="62"/>
      <c r="D953" s="62"/>
      <c r="E953" s="74"/>
      <c r="F953" s="62"/>
      <c r="G953" s="62"/>
      <c r="H953" s="62"/>
      <c r="I953" s="79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143"/>
      <c r="V953" s="143"/>
      <c r="W953" s="143"/>
      <c r="X953" s="62"/>
      <c r="Y953" s="62"/>
      <c r="Z953" s="143"/>
      <c r="AA953" s="143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78"/>
      <c r="BD953" s="78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62"/>
      <c r="BS953" s="62"/>
      <c r="BT953" s="62"/>
      <c r="BU953" s="62"/>
      <c r="BV953" s="62"/>
      <c r="BW953" s="62"/>
      <c r="BX953" s="62"/>
      <c r="BY953" s="62"/>
      <c r="BZ953" s="62"/>
      <c r="CA953" s="62"/>
      <c r="CB953" s="62"/>
    </row>
    <row r="954" ht="15.75" customHeight="1">
      <c r="A954" s="62"/>
      <c r="B954" s="79"/>
      <c r="C954" s="62"/>
      <c r="D954" s="62"/>
      <c r="E954" s="74"/>
      <c r="F954" s="62"/>
      <c r="G954" s="62"/>
      <c r="H954" s="62"/>
      <c r="I954" s="79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143"/>
      <c r="V954" s="143"/>
      <c r="W954" s="143"/>
      <c r="X954" s="62"/>
      <c r="Y954" s="62"/>
      <c r="Z954" s="143"/>
      <c r="AA954" s="143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78"/>
      <c r="BD954" s="78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62"/>
      <c r="BS954" s="62"/>
      <c r="BT954" s="62"/>
      <c r="BU954" s="62"/>
      <c r="BV954" s="62"/>
      <c r="BW954" s="62"/>
      <c r="BX954" s="62"/>
      <c r="BY954" s="62"/>
      <c r="BZ954" s="62"/>
      <c r="CA954" s="62"/>
      <c r="CB954" s="62"/>
    </row>
    <row r="955" ht="15.75" customHeight="1">
      <c r="A955" s="62"/>
      <c r="B955" s="79"/>
      <c r="C955" s="62"/>
      <c r="D955" s="62"/>
      <c r="E955" s="74"/>
      <c r="F955" s="62"/>
      <c r="G955" s="62"/>
      <c r="H955" s="62"/>
      <c r="I955" s="79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143"/>
      <c r="V955" s="143"/>
      <c r="W955" s="143"/>
      <c r="X955" s="62"/>
      <c r="Y955" s="62"/>
      <c r="Z955" s="143"/>
      <c r="AA955" s="143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78"/>
      <c r="BD955" s="78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62"/>
      <c r="BS955" s="62"/>
      <c r="BT955" s="62"/>
      <c r="BU955" s="62"/>
      <c r="BV955" s="62"/>
      <c r="BW955" s="62"/>
      <c r="BX955" s="62"/>
      <c r="BY955" s="62"/>
      <c r="BZ955" s="62"/>
      <c r="CA955" s="62"/>
      <c r="CB955" s="62"/>
    </row>
    <row r="956" ht="15.75" customHeight="1">
      <c r="A956" s="62"/>
      <c r="B956" s="79"/>
      <c r="C956" s="62"/>
      <c r="D956" s="62"/>
      <c r="E956" s="74"/>
      <c r="F956" s="62"/>
      <c r="G956" s="62"/>
      <c r="H956" s="62"/>
      <c r="I956" s="79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143"/>
      <c r="V956" s="143"/>
      <c r="W956" s="143"/>
      <c r="X956" s="62"/>
      <c r="Y956" s="62"/>
      <c r="Z956" s="143"/>
      <c r="AA956" s="143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78"/>
      <c r="BD956" s="78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62"/>
      <c r="BS956" s="62"/>
      <c r="BT956" s="62"/>
      <c r="BU956" s="62"/>
      <c r="BV956" s="62"/>
      <c r="BW956" s="62"/>
      <c r="BX956" s="62"/>
      <c r="BY956" s="62"/>
      <c r="BZ956" s="62"/>
      <c r="CA956" s="62"/>
      <c r="CB956" s="62"/>
    </row>
    <row r="957" ht="15.75" customHeight="1">
      <c r="A957" s="62"/>
      <c r="B957" s="79"/>
      <c r="C957" s="62"/>
      <c r="D957" s="62"/>
      <c r="E957" s="74"/>
      <c r="F957" s="62"/>
      <c r="G957" s="62"/>
      <c r="H957" s="62"/>
      <c r="I957" s="79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143"/>
      <c r="V957" s="143"/>
      <c r="W957" s="143"/>
      <c r="X957" s="62"/>
      <c r="Y957" s="62"/>
      <c r="Z957" s="143"/>
      <c r="AA957" s="143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78"/>
      <c r="BD957" s="78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62"/>
      <c r="BS957" s="62"/>
      <c r="BT957" s="62"/>
      <c r="BU957" s="62"/>
      <c r="BV957" s="62"/>
      <c r="BW957" s="62"/>
      <c r="BX957" s="62"/>
      <c r="BY957" s="62"/>
      <c r="BZ957" s="62"/>
      <c r="CA957" s="62"/>
      <c r="CB957" s="62"/>
    </row>
    <row r="958" ht="15.75" customHeight="1">
      <c r="A958" s="62"/>
      <c r="B958" s="79"/>
      <c r="C958" s="62"/>
      <c r="D958" s="62"/>
      <c r="E958" s="74"/>
      <c r="F958" s="62"/>
      <c r="G958" s="62"/>
      <c r="H958" s="62"/>
      <c r="I958" s="79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143"/>
      <c r="V958" s="143"/>
      <c r="W958" s="143"/>
      <c r="X958" s="62"/>
      <c r="Y958" s="62"/>
      <c r="Z958" s="143"/>
      <c r="AA958" s="143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78"/>
      <c r="BD958" s="78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62"/>
      <c r="BS958" s="62"/>
      <c r="BT958" s="62"/>
      <c r="BU958" s="62"/>
      <c r="BV958" s="62"/>
      <c r="BW958" s="62"/>
      <c r="BX958" s="62"/>
      <c r="BY958" s="62"/>
      <c r="BZ958" s="62"/>
      <c r="CA958" s="62"/>
      <c r="CB958" s="62"/>
    </row>
    <row r="959" ht="15.75" customHeight="1">
      <c r="A959" s="62"/>
      <c r="B959" s="79"/>
      <c r="C959" s="62"/>
      <c r="D959" s="62"/>
      <c r="E959" s="74"/>
      <c r="F959" s="62"/>
      <c r="G959" s="62"/>
      <c r="H959" s="62"/>
      <c r="I959" s="79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143"/>
      <c r="V959" s="143"/>
      <c r="W959" s="143"/>
      <c r="X959" s="62"/>
      <c r="Y959" s="62"/>
      <c r="Z959" s="143"/>
      <c r="AA959" s="143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78"/>
      <c r="BD959" s="78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62"/>
      <c r="BS959" s="62"/>
      <c r="BT959" s="62"/>
      <c r="BU959" s="62"/>
      <c r="BV959" s="62"/>
      <c r="BW959" s="62"/>
      <c r="BX959" s="62"/>
      <c r="BY959" s="62"/>
      <c r="BZ959" s="62"/>
      <c r="CA959" s="62"/>
      <c r="CB959" s="62"/>
    </row>
    <row r="960" ht="15.75" customHeight="1">
      <c r="A960" s="62"/>
      <c r="B960" s="79"/>
      <c r="C960" s="62"/>
      <c r="D960" s="62"/>
      <c r="E960" s="74"/>
      <c r="F960" s="62"/>
      <c r="G960" s="62"/>
      <c r="H960" s="62"/>
      <c r="I960" s="79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143"/>
      <c r="V960" s="143"/>
      <c r="W960" s="143"/>
      <c r="X960" s="62"/>
      <c r="Y960" s="62"/>
      <c r="Z960" s="143"/>
      <c r="AA960" s="143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78"/>
      <c r="BD960" s="78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</row>
    <row r="961" ht="15.75" customHeight="1">
      <c r="A961" s="62"/>
      <c r="B961" s="79"/>
      <c r="C961" s="62"/>
      <c r="D961" s="62"/>
      <c r="E961" s="74"/>
      <c r="F961" s="62"/>
      <c r="G961" s="62"/>
      <c r="H961" s="62"/>
      <c r="I961" s="79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143"/>
      <c r="V961" s="143"/>
      <c r="W961" s="143"/>
      <c r="X961" s="62"/>
      <c r="Y961" s="62"/>
      <c r="Z961" s="143"/>
      <c r="AA961" s="143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78"/>
      <c r="BD961" s="78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</row>
    <row r="962" ht="15.75" customHeight="1">
      <c r="A962" s="62"/>
      <c r="B962" s="79"/>
      <c r="C962" s="62"/>
      <c r="D962" s="62"/>
      <c r="E962" s="74"/>
      <c r="F962" s="62"/>
      <c r="G962" s="62"/>
      <c r="H962" s="62"/>
      <c r="I962" s="79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143"/>
      <c r="V962" s="143"/>
      <c r="W962" s="143"/>
      <c r="X962" s="62"/>
      <c r="Y962" s="62"/>
      <c r="Z962" s="143"/>
      <c r="AA962" s="143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78"/>
      <c r="BD962" s="78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</row>
    <row r="963" ht="15.75" customHeight="1">
      <c r="A963" s="62"/>
      <c r="B963" s="79"/>
      <c r="C963" s="62"/>
      <c r="D963" s="62"/>
      <c r="E963" s="74"/>
      <c r="F963" s="62"/>
      <c r="G963" s="62"/>
      <c r="H963" s="62"/>
      <c r="I963" s="79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143"/>
      <c r="V963" s="143"/>
      <c r="W963" s="143"/>
      <c r="X963" s="62"/>
      <c r="Y963" s="62"/>
      <c r="Z963" s="143"/>
      <c r="AA963" s="143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78"/>
      <c r="BD963" s="78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</row>
    <row r="964" ht="15.75" customHeight="1">
      <c r="A964" s="62"/>
      <c r="B964" s="79"/>
      <c r="C964" s="62"/>
      <c r="D964" s="62"/>
      <c r="E964" s="74"/>
      <c r="F964" s="62"/>
      <c r="G964" s="62"/>
      <c r="H964" s="62"/>
      <c r="I964" s="79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143"/>
      <c r="V964" s="143"/>
      <c r="W964" s="143"/>
      <c r="X964" s="62"/>
      <c r="Y964" s="62"/>
      <c r="Z964" s="143"/>
      <c r="AA964" s="143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78"/>
      <c r="BD964" s="78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</row>
    <row r="965" ht="15.75" customHeight="1">
      <c r="A965" s="62"/>
      <c r="B965" s="79"/>
      <c r="C965" s="62"/>
      <c r="D965" s="62"/>
      <c r="E965" s="74"/>
      <c r="F965" s="62"/>
      <c r="G965" s="62"/>
      <c r="H965" s="62"/>
      <c r="I965" s="79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143"/>
      <c r="V965" s="143"/>
      <c r="W965" s="143"/>
      <c r="X965" s="62"/>
      <c r="Y965" s="62"/>
      <c r="Z965" s="143"/>
      <c r="AA965" s="143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78"/>
      <c r="BD965" s="78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</row>
    <row r="966" ht="15.75" customHeight="1">
      <c r="A966" s="62"/>
      <c r="B966" s="79"/>
      <c r="C966" s="62"/>
      <c r="D966" s="62"/>
      <c r="E966" s="74"/>
      <c r="F966" s="62"/>
      <c r="G966" s="62"/>
      <c r="H966" s="62"/>
      <c r="I966" s="79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143"/>
      <c r="V966" s="143"/>
      <c r="W966" s="143"/>
      <c r="X966" s="62"/>
      <c r="Y966" s="62"/>
      <c r="Z966" s="143"/>
      <c r="AA966" s="143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78"/>
      <c r="BD966" s="78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</row>
    <row r="967" ht="15.75" customHeight="1">
      <c r="A967" s="62"/>
      <c r="B967" s="79"/>
      <c r="C967" s="62"/>
      <c r="D967" s="62"/>
      <c r="E967" s="74"/>
      <c r="F967" s="62"/>
      <c r="G967" s="62"/>
      <c r="H967" s="62"/>
      <c r="I967" s="79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143"/>
      <c r="V967" s="143"/>
      <c r="W967" s="143"/>
      <c r="X967" s="62"/>
      <c r="Y967" s="62"/>
      <c r="Z967" s="143"/>
      <c r="AA967" s="143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78"/>
      <c r="BD967" s="78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</row>
    <row r="968" ht="15.75" customHeight="1">
      <c r="A968" s="62"/>
      <c r="B968" s="79"/>
      <c r="C968" s="62"/>
      <c r="D968" s="62"/>
      <c r="E968" s="74"/>
      <c r="F968" s="62"/>
      <c r="G968" s="62"/>
      <c r="H968" s="62"/>
      <c r="I968" s="79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143"/>
      <c r="V968" s="143"/>
      <c r="W968" s="143"/>
      <c r="X968" s="62"/>
      <c r="Y968" s="62"/>
      <c r="Z968" s="143"/>
      <c r="AA968" s="143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78"/>
      <c r="BD968" s="78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</row>
    <row r="969" ht="15.75" customHeight="1">
      <c r="A969" s="62"/>
      <c r="B969" s="79"/>
      <c r="C969" s="62"/>
      <c r="D969" s="62"/>
      <c r="E969" s="74"/>
      <c r="F969" s="62"/>
      <c r="G969" s="62"/>
      <c r="H969" s="62"/>
      <c r="I969" s="79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143"/>
      <c r="V969" s="143"/>
      <c r="W969" s="143"/>
      <c r="X969" s="62"/>
      <c r="Y969" s="62"/>
      <c r="Z969" s="143"/>
      <c r="AA969" s="143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78"/>
      <c r="BD969" s="78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</row>
    <row r="970" ht="15.75" customHeight="1">
      <c r="A970" s="62"/>
      <c r="B970" s="79"/>
      <c r="C970" s="62"/>
      <c r="D970" s="62"/>
      <c r="E970" s="74"/>
      <c r="F970" s="62"/>
      <c r="G970" s="62"/>
      <c r="H970" s="62"/>
      <c r="I970" s="79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143"/>
      <c r="V970" s="143"/>
      <c r="W970" s="143"/>
      <c r="X970" s="62"/>
      <c r="Y970" s="62"/>
      <c r="Z970" s="143"/>
      <c r="AA970" s="143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78"/>
      <c r="BD970" s="78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62"/>
      <c r="BS970" s="62"/>
      <c r="BT970" s="62"/>
      <c r="BU970" s="62"/>
      <c r="BV970" s="62"/>
      <c r="BW970" s="62"/>
      <c r="BX970" s="62"/>
      <c r="BY970" s="62"/>
      <c r="BZ970" s="62"/>
      <c r="CA970" s="62"/>
      <c r="CB970" s="62"/>
    </row>
    <row r="971" ht="15.75" customHeight="1">
      <c r="A971" s="62"/>
      <c r="B971" s="79"/>
      <c r="C971" s="62"/>
      <c r="D971" s="62"/>
      <c r="E971" s="74"/>
      <c r="F971" s="62"/>
      <c r="G971" s="62"/>
      <c r="H971" s="62"/>
      <c r="I971" s="79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143"/>
      <c r="V971" s="143"/>
      <c r="W971" s="143"/>
      <c r="X971" s="62"/>
      <c r="Y971" s="62"/>
      <c r="Z971" s="143"/>
      <c r="AA971" s="143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78"/>
      <c r="BD971" s="78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62"/>
      <c r="BS971" s="62"/>
      <c r="BT971" s="62"/>
      <c r="BU971" s="62"/>
      <c r="BV971" s="62"/>
      <c r="BW971" s="62"/>
      <c r="BX971" s="62"/>
      <c r="BY971" s="62"/>
      <c r="BZ971" s="62"/>
      <c r="CA971" s="62"/>
      <c r="CB971" s="62"/>
    </row>
    <row r="972" ht="15.75" customHeight="1">
      <c r="A972" s="62"/>
      <c r="B972" s="79"/>
      <c r="C972" s="62"/>
      <c r="D972" s="62"/>
      <c r="E972" s="74"/>
      <c r="F972" s="62"/>
      <c r="G972" s="62"/>
      <c r="H972" s="62"/>
      <c r="I972" s="79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143"/>
      <c r="V972" s="143"/>
      <c r="W972" s="143"/>
      <c r="X972" s="62"/>
      <c r="Y972" s="62"/>
      <c r="Z972" s="143"/>
      <c r="AA972" s="143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78"/>
      <c r="BD972" s="78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62"/>
      <c r="BS972" s="62"/>
      <c r="BT972" s="62"/>
      <c r="BU972" s="62"/>
      <c r="BV972" s="62"/>
      <c r="BW972" s="62"/>
      <c r="BX972" s="62"/>
      <c r="BY972" s="62"/>
      <c r="BZ972" s="62"/>
      <c r="CA972" s="62"/>
      <c r="CB972" s="62"/>
    </row>
    <row r="973" ht="15.75" customHeight="1">
      <c r="A973" s="62"/>
      <c r="B973" s="79"/>
      <c r="C973" s="62"/>
      <c r="D973" s="62"/>
      <c r="E973" s="74"/>
      <c r="F973" s="62"/>
      <c r="G973" s="62"/>
      <c r="H973" s="62"/>
      <c r="I973" s="79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143"/>
      <c r="V973" s="143"/>
      <c r="W973" s="143"/>
      <c r="X973" s="62"/>
      <c r="Y973" s="62"/>
      <c r="Z973" s="143"/>
      <c r="AA973" s="143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78"/>
      <c r="BD973" s="78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62"/>
      <c r="BS973" s="62"/>
      <c r="BT973" s="62"/>
      <c r="BU973" s="62"/>
      <c r="BV973" s="62"/>
      <c r="BW973" s="62"/>
      <c r="BX973" s="62"/>
      <c r="BY973" s="62"/>
      <c r="BZ973" s="62"/>
      <c r="CA973" s="62"/>
      <c r="CB973" s="62"/>
    </row>
    <row r="974" ht="15.75" customHeight="1">
      <c r="A974" s="62"/>
      <c r="B974" s="79"/>
      <c r="C974" s="62"/>
      <c r="D974" s="62"/>
      <c r="E974" s="74"/>
      <c r="F974" s="62"/>
      <c r="G974" s="62"/>
      <c r="H974" s="62"/>
      <c r="I974" s="79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143"/>
      <c r="V974" s="143"/>
      <c r="W974" s="143"/>
      <c r="X974" s="62"/>
      <c r="Y974" s="62"/>
      <c r="Z974" s="143"/>
      <c r="AA974" s="143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78"/>
      <c r="BD974" s="78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62"/>
      <c r="BS974" s="62"/>
      <c r="BT974" s="62"/>
      <c r="BU974" s="62"/>
      <c r="BV974" s="62"/>
      <c r="BW974" s="62"/>
      <c r="BX974" s="62"/>
      <c r="BY974" s="62"/>
      <c r="BZ974" s="62"/>
      <c r="CA974" s="62"/>
      <c r="CB974" s="62"/>
    </row>
    <row r="975" ht="15.75" customHeight="1">
      <c r="A975" s="62"/>
      <c r="B975" s="79"/>
      <c r="C975" s="62"/>
      <c r="D975" s="62"/>
      <c r="E975" s="74"/>
      <c r="F975" s="62"/>
      <c r="G975" s="62"/>
      <c r="H975" s="62"/>
      <c r="I975" s="79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143"/>
      <c r="V975" s="143"/>
      <c r="W975" s="143"/>
      <c r="X975" s="62"/>
      <c r="Y975" s="62"/>
      <c r="Z975" s="143"/>
      <c r="AA975" s="143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78"/>
      <c r="BD975" s="78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  <c r="BP975" s="62"/>
      <c r="BQ975" s="62"/>
      <c r="BR975" s="62"/>
      <c r="BS975" s="62"/>
      <c r="BT975" s="62"/>
      <c r="BU975" s="62"/>
      <c r="BV975" s="62"/>
      <c r="BW975" s="62"/>
      <c r="BX975" s="62"/>
      <c r="BY975" s="62"/>
      <c r="BZ975" s="62"/>
      <c r="CA975" s="62"/>
      <c r="CB975" s="62"/>
    </row>
    <row r="976" ht="15.75" customHeight="1">
      <c r="A976" s="62"/>
      <c r="B976" s="79"/>
      <c r="C976" s="62"/>
      <c r="D976" s="62"/>
      <c r="E976" s="74"/>
      <c r="F976" s="62"/>
      <c r="G976" s="62"/>
      <c r="H976" s="62"/>
      <c r="I976" s="79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143"/>
      <c r="V976" s="143"/>
      <c r="W976" s="143"/>
      <c r="X976" s="62"/>
      <c r="Y976" s="62"/>
      <c r="Z976" s="143"/>
      <c r="AA976" s="143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78"/>
      <c r="BD976" s="78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  <c r="BP976" s="62"/>
      <c r="BQ976" s="62"/>
      <c r="BR976" s="62"/>
      <c r="BS976" s="62"/>
      <c r="BT976" s="62"/>
      <c r="BU976" s="62"/>
      <c r="BV976" s="62"/>
      <c r="BW976" s="62"/>
      <c r="BX976" s="62"/>
      <c r="BY976" s="62"/>
      <c r="BZ976" s="62"/>
      <c r="CA976" s="62"/>
      <c r="CB976" s="62"/>
    </row>
    <row r="977" ht="15.75" customHeight="1">
      <c r="A977" s="62"/>
      <c r="B977" s="79"/>
      <c r="C977" s="62"/>
      <c r="D977" s="62"/>
      <c r="E977" s="74"/>
      <c r="F977" s="62"/>
      <c r="G977" s="62"/>
      <c r="H977" s="62"/>
      <c r="I977" s="79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143"/>
      <c r="V977" s="143"/>
      <c r="W977" s="143"/>
      <c r="X977" s="62"/>
      <c r="Y977" s="62"/>
      <c r="Z977" s="143"/>
      <c r="AA977" s="143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78"/>
      <c r="BD977" s="78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  <c r="BP977" s="62"/>
      <c r="BQ977" s="62"/>
      <c r="BR977" s="62"/>
      <c r="BS977" s="62"/>
      <c r="BT977" s="62"/>
      <c r="BU977" s="62"/>
      <c r="BV977" s="62"/>
      <c r="BW977" s="62"/>
      <c r="BX977" s="62"/>
      <c r="BY977" s="62"/>
      <c r="BZ977" s="62"/>
      <c r="CA977" s="62"/>
      <c r="CB977" s="62"/>
    </row>
    <row r="978" ht="15.75" customHeight="1">
      <c r="A978" s="62"/>
      <c r="B978" s="79"/>
      <c r="C978" s="62"/>
      <c r="D978" s="62"/>
      <c r="E978" s="74"/>
      <c r="F978" s="62"/>
      <c r="G978" s="62"/>
      <c r="H978" s="62"/>
      <c r="I978" s="79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143"/>
      <c r="V978" s="143"/>
      <c r="W978" s="143"/>
      <c r="X978" s="62"/>
      <c r="Y978" s="62"/>
      <c r="Z978" s="143"/>
      <c r="AA978" s="143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78"/>
      <c r="BD978" s="78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  <c r="BP978" s="62"/>
      <c r="BQ978" s="62"/>
      <c r="BR978" s="62"/>
      <c r="BS978" s="62"/>
      <c r="BT978" s="62"/>
      <c r="BU978" s="62"/>
      <c r="BV978" s="62"/>
      <c r="BW978" s="62"/>
      <c r="BX978" s="62"/>
      <c r="BY978" s="62"/>
      <c r="BZ978" s="62"/>
      <c r="CA978" s="62"/>
      <c r="CB978" s="62"/>
    </row>
    <row r="979" ht="15.75" customHeight="1">
      <c r="A979" s="62"/>
      <c r="B979" s="79"/>
      <c r="C979" s="62"/>
      <c r="D979" s="62"/>
      <c r="E979" s="74"/>
      <c r="F979" s="62"/>
      <c r="G979" s="62"/>
      <c r="H979" s="62"/>
      <c r="I979" s="79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143"/>
      <c r="V979" s="143"/>
      <c r="W979" s="143"/>
      <c r="X979" s="62"/>
      <c r="Y979" s="62"/>
      <c r="Z979" s="143"/>
      <c r="AA979" s="143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78"/>
      <c r="BD979" s="78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  <c r="BP979" s="62"/>
      <c r="BQ979" s="62"/>
      <c r="BR979" s="62"/>
      <c r="BS979" s="62"/>
      <c r="BT979" s="62"/>
      <c r="BU979" s="62"/>
      <c r="BV979" s="62"/>
      <c r="BW979" s="62"/>
      <c r="BX979" s="62"/>
      <c r="BY979" s="62"/>
      <c r="BZ979" s="62"/>
      <c r="CA979" s="62"/>
      <c r="CB979" s="62"/>
    </row>
    <row r="980" ht="15.75" customHeight="1">
      <c r="A980" s="62"/>
      <c r="B980" s="79"/>
      <c r="C980" s="62"/>
      <c r="D980" s="62"/>
      <c r="E980" s="74"/>
      <c r="F980" s="62"/>
      <c r="G980" s="62"/>
      <c r="H980" s="62"/>
      <c r="I980" s="79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143"/>
      <c r="V980" s="143"/>
      <c r="W980" s="143"/>
      <c r="X980" s="62"/>
      <c r="Y980" s="62"/>
      <c r="Z980" s="143"/>
      <c r="AA980" s="143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78"/>
      <c r="BD980" s="78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  <c r="BP980" s="62"/>
      <c r="BQ980" s="62"/>
      <c r="BR980" s="62"/>
      <c r="BS980" s="62"/>
      <c r="BT980" s="62"/>
      <c r="BU980" s="62"/>
      <c r="BV980" s="62"/>
      <c r="BW980" s="62"/>
      <c r="BX980" s="62"/>
      <c r="BY980" s="62"/>
      <c r="BZ980" s="62"/>
      <c r="CA980" s="62"/>
      <c r="CB980" s="62"/>
    </row>
    <row r="981" ht="15.75" customHeight="1">
      <c r="A981" s="62"/>
      <c r="B981" s="79"/>
      <c r="C981" s="62"/>
      <c r="D981" s="62"/>
      <c r="E981" s="74"/>
      <c r="F981" s="62"/>
      <c r="G981" s="62"/>
      <c r="H981" s="62"/>
      <c r="I981" s="79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143"/>
      <c r="V981" s="143"/>
      <c r="W981" s="143"/>
      <c r="X981" s="62"/>
      <c r="Y981" s="62"/>
      <c r="Z981" s="143"/>
      <c r="AA981" s="143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78"/>
      <c r="BD981" s="78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  <c r="BP981" s="62"/>
      <c r="BQ981" s="62"/>
      <c r="BR981" s="62"/>
      <c r="BS981" s="62"/>
      <c r="BT981" s="62"/>
      <c r="BU981" s="62"/>
      <c r="BV981" s="62"/>
      <c r="BW981" s="62"/>
      <c r="BX981" s="62"/>
      <c r="BY981" s="62"/>
      <c r="BZ981" s="62"/>
      <c r="CA981" s="62"/>
      <c r="CB981" s="62"/>
    </row>
    <row r="982" ht="15.75" customHeight="1">
      <c r="A982" s="62"/>
      <c r="B982" s="79"/>
      <c r="C982" s="62"/>
      <c r="D982" s="62"/>
      <c r="E982" s="74"/>
      <c r="F982" s="62"/>
      <c r="G982" s="62"/>
      <c r="H982" s="62"/>
      <c r="I982" s="79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143"/>
      <c r="V982" s="143"/>
      <c r="W982" s="143"/>
      <c r="X982" s="62"/>
      <c r="Y982" s="62"/>
      <c r="Z982" s="143"/>
      <c r="AA982" s="143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78"/>
      <c r="BD982" s="78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2"/>
      <c r="CA982" s="62"/>
      <c r="CB982" s="62"/>
    </row>
    <row r="983" ht="15.75" customHeight="1">
      <c r="A983" s="62"/>
      <c r="B983" s="79"/>
      <c r="C983" s="62"/>
      <c r="D983" s="62"/>
      <c r="E983" s="74"/>
      <c r="F983" s="62"/>
      <c r="G983" s="62"/>
      <c r="H983" s="62"/>
      <c r="I983" s="79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143"/>
      <c r="V983" s="143"/>
      <c r="W983" s="143"/>
      <c r="X983" s="62"/>
      <c r="Y983" s="62"/>
      <c r="Z983" s="143"/>
      <c r="AA983" s="143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78"/>
      <c r="BD983" s="78"/>
      <c r="BE983" s="62"/>
      <c r="BF983" s="62"/>
      <c r="BG983" s="62"/>
      <c r="BH983" s="62"/>
      <c r="BI983" s="62"/>
      <c r="BJ983" s="62"/>
      <c r="BK983" s="62"/>
      <c r="BL983" s="62"/>
      <c r="BM983" s="62"/>
      <c r="BN983" s="62"/>
      <c r="BO983" s="62"/>
      <c r="BP983" s="62"/>
      <c r="BQ983" s="62"/>
      <c r="BR983" s="62"/>
      <c r="BS983" s="62"/>
      <c r="BT983" s="62"/>
      <c r="BU983" s="62"/>
      <c r="BV983" s="62"/>
      <c r="BW983" s="62"/>
      <c r="BX983" s="62"/>
      <c r="BY983" s="62"/>
      <c r="BZ983" s="62"/>
      <c r="CA983" s="62"/>
      <c r="CB983" s="62"/>
    </row>
    <row r="984" ht="15.75" customHeight="1">
      <c r="A984" s="62"/>
      <c r="B984" s="79"/>
      <c r="C984" s="62"/>
      <c r="D984" s="62"/>
      <c r="E984" s="74"/>
      <c r="F984" s="62"/>
      <c r="G984" s="62"/>
      <c r="H984" s="62"/>
      <c r="I984" s="79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143"/>
      <c r="V984" s="143"/>
      <c r="W984" s="143"/>
      <c r="X984" s="62"/>
      <c r="Y984" s="62"/>
      <c r="Z984" s="143"/>
      <c r="AA984" s="143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78"/>
      <c r="BD984" s="78"/>
      <c r="BE984" s="62"/>
      <c r="BF984" s="62"/>
      <c r="BG984" s="62"/>
      <c r="BH984" s="62"/>
      <c r="BI984" s="62"/>
      <c r="BJ984" s="62"/>
      <c r="BK984" s="62"/>
      <c r="BL984" s="62"/>
      <c r="BM984" s="62"/>
      <c r="BN984" s="62"/>
      <c r="BO984" s="62"/>
      <c r="BP984" s="62"/>
      <c r="BQ984" s="62"/>
      <c r="BR984" s="62"/>
      <c r="BS984" s="62"/>
      <c r="BT984" s="62"/>
      <c r="BU984" s="62"/>
      <c r="BV984" s="62"/>
      <c r="BW984" s="62"/>
      <c r="BX984" s="62"/>
      <c r="BY984" s="62"/>
      <c r="BZ984" s="62"/>
      <c r="CA984" s="62"/>
      <c r="CB984" s="62"/>
    </row>
    <row r="985" ht="15.75" customHeight="1">
      <c r="A985" s="62"/>
      <c r="B985" s="79"/>
      <c r="C985" s="62"/>
      <c r="D985" s="62"/>
      <c r="E985" s="74"/>
      <c r="F985" s="62"/>
      <c r="G985" s="62"/>
      <c r="H985" s="62"/>
      <c r="I985" s="79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143"/>
      <c r="V985" s="143"/>
      <c r="W985" s="143"/>
      <c r="X985" s="62"/>
      <c r="Y985" s="62"/>
      <c r="Z985" s="143"/>
      <c r="AA985" s="143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78"/>
      <c r="BD985" s="78"/>
      <c r="BE985" s="62"/>
      <c r="BF985" s="62"/>
      <c r="BG985" s="62"/>
      <c r="BH985" s="62"/>
      <c r="BI985" s="62"/>
      <c r="BJ985" s="62"/>
      <c r="BK985" s="62"/>
      <c r="BL985" s="62"/>
      <c r="BM985" s="62"/>
      <c r="BN985" s="62"/>
      <c r="BO985" s="62"/>
      <c r="BP985" s="62"/>
      <c r="BQ985" s="62"/>
      <c r="BR985" s="62"/>
      <c r="BS985" s="62"/>
      <c r="BT985" s="62"/>
      <c r="BU985" s="62"/>
      <c r="BV985" s="62"/>
      <c r="BW985" s="62"/>
      <c r="BX985" s="62"/>
      <c r="BY985" s="62"/>
      <c r="BZ985" s="62"/>
      <c r="CA985" s="62"/>
      <c r="CB985" s="62"/>
    </row>
    <row r="986" ht="15.75" customHeight="1">
      <c r="A986" s="62"/>
      <c r="B986" s="79"/>
      <c r="C986" s="62"/>
      <c r="D986" s="62"/>
      <c r="E986" s="74"/>
      <c r="F986" s="62"/>
      <c r="G986" s="62"/>
      <c r="H986" s="62"/>
      <c r="I986" s="79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143"/>
      <c r="V986" s="143"/>
      <c r="W986" s="143"/>
      <c r="X986" s="62"/>
      <c r="Y986" s="62"/>
      <c r="Z986" s="143"/>
      <c r="AA986" s="143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78"/>
      <c r="BD986" s="78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  <c r="BP986" s="62"/>
      <c r="BQ986" s="62"/>
      <c r="BR986" s="62"/>
      <c r="BS986" s="62"/>
      <c r="BT986" s="62"/>
      <c r="BU986" s="62"/>
      <c r="BV986" s="62"/>
      <c r="BW986" s="62"/>
      <c r="BX986" s="62"/>
      <c r="BY986" s="62"/>
      <c r="BZ986" s="62"/>
      <c r="CA986" s="62"/>
      <c r="CB986" s="62"/>
    </row>
    <row r="987" ht="15.75" customHeight="1">
      <c r="A987" s="62"/>
      <c r="B987" s="79"/>
      <c r="C987" s="62"/>
      <c r="D987" s="62"/>
      <c r="E987" s="74"/>
      <c r="F987" s="62"/>
      <c r="G987" s="62"/>
      <c r="H987" s="62"/>
      <c r="I987" s="79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143"/>
      <c r="V987" s="143"/>
      <c r="W987" s="143"/>
      <c r="X987" s="62"/>
      <c r="Y987" s="62"/>
      <c r="Z987" s="143"/>
      <c r="AA987" s="143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78"/>
      <c r="BD987" s="78"/>
      <c r="BE987" s="62"/>
      <c r="BF987" s="62"/>
      <c r="BG987" s="62"/>
      <c r="BH987" s="62"/>
      <c r="BI987" s="62"/>
      <c r="BJ987" s="62"/>
      <c r="BK987" s="62"/>
      <c r="BL987" s="62"/>
      <c r="BM987" s="62"/>
      <c r="BN987" s="62"/>
      <c r="BO987" s="62"/>
      <c r="BP987" s="62"/>
      <c r="BQ987" s="62"/>
      <c r="BR987" s="62"/>
      <c r="BS987" s="62"/>
      <c r="BT987" s="62"/>
      <c r="BU987" s="62"/>
      <c r="BV987" s="62"/>
      <c r="BW987" s="62"/>
      <c r="BX987" s="62"/>
      <c r="BY987" s="62"/>
      <c r="BZ987" s="62"/>
      <c r="CA987" s="62"/>
      <c r="CB987" s="62"/>
    </row>
    <row r="988" ht="15.75" customHeight="1">
      <c r="A988" s="62"/>
      <c r="B988" s="79"/>
      <c r="C988" s="62"/>
      <c r="D988" s="62"/>
      <c r="E988" s="74"/>
      <c r="F988" s="62"/>
      <c r="G988" s="62"/>
      <c r="H988" s="62"/>
      <c r="I988" s="79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143"/>
      <c r="V988" s="143"/>
      <c r="W988" s="143"/>
      <c r="X988" s="62"/>
      <c r="Y988" s="62"/>
      <c r="Z988" s="143"/>
      <c r="AA988" s="143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78"/>
      <c r="BD988" s="78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  <c r="BP988" s="62"/>
      <c r="BQ988" s="62"/>
      <c r="BR988" s="62"/>
      <c r="BS988" s="62"/>
      <c r="BT988" s="62"/>
      <c r="BU988" s="62"/>
      <c r="BV988" s="62"/>
      <c r="BW988" s="62"/>
      <c r="BX988" s="62"/>
      <c r="BY988" s="62"/>
      <c r="BZ988" s="62"/>
      <c r="CA988" s="62"/>
      <c r="CB988" s="62"/>
    </row>
    <row r="989" ht="15.75" customHeight="1">
      <c r="A989" s="62"/>
      <c r="B989" s="79"/>
      <c r="C989" s="62"/>
      <c r="D989" s="62"/>
      <c r="E989" s="74"/>
      <c r="F989" s="62"/>
      <c r="G989" s="62"/>
      <c r="H989" s="62"/>
      <c r="I989" s="79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143"/>
      <c r="V989" s="143"/>
      <c r="W989" s="143"/>
      <c r="X989" s="62"/>
      <c r="Y989" s="62"/>
      <c r="Z989" s="143"/>
      <c r="AA989" s="143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78"/>
      <c r="BD989" s="78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  <c r="BP989" s="62"/>
      <c r="BQ989" s="62"/>
      <c r="BR989" s="62"/>
      <c r="BS989" s="62"/>
      <c r="BT989" s="62"/>
      <c r="BU989" s="62"/>
      <c r="BV989" s="62"/>
      <c r="BW989" s="62"/>
      <c r="BX989" s="62"/>
      <c r="BY989" s="62"/>
      <c r="BZ989" s="62"/>
      <c r="CA989" s="62"/>
      <c r="CB989" s="62"/>
    </row>
    <row r="990" ht="15.75" customHeight="1">
      <c r="A990" s="62"/>
      <c r="B990" s="79"/>
      <c r="C990" s="62"/>
      <c r="D990" s="62"/>
      <c r="E990" s="74"/>
      <c r="F990" s="62"/>
      <c r="G990" s="62"/>
      <c r="H990" s="62"/>
      <c r="I990" s="79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143"/>
      <c r="V990" s="143"/>
      <c r="W990" s="143"/>
      <c r="X990" s="62"/>
      <c r="Y990" s="62"/>
      <c r="Z990" s="143"/>
      <c r="AA990" s="143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78"/>
      <c r="BD990" s="78"/>
      <c r="BE990" s="62"/>
      <c r="BF990" s="62"/>
      <c r="BG990" s="62"/>
      <c r="BH990" s="62"/>
      <c r="BI990" s="62"/>
      <c r="BJ990" s="62"/>
      <c r="BK990" s="62"/>
      <c r="BL990" s="62"/>
      <c r="BM990" s="62"/>
      <c r="BN990" s="62"/>
      <c r="BO990" s="62"/>
      <c r="BP990" s="62"/>
      <c r="BQ990" s="62"/>
      <c r="BR990" s="62"/>
      <c r="BS990" s="62"/>
      <c r="BT990" s="62"/>
      <c r="BU990" s="62"/>
      <c r="BV990" s="62"/>
      <c r="BW990" s="62"/>
      <c r="BX990" s="62"/>
      <c r="BY990" s="62"/>
      <c r="BZ990" s="62"/>
      <c r="CA990" s="62"/>
      <c r="CB990" s="62"/>
    </row>
    <row r="991" ht="15.75" customHeight="1">
      <c r="A991" s="62"/>
      <c r="B991" s="79"/>
      <c r="C991" s="62"/>
      <c r="D991" s="62"/>
      <c r="E991" s="74"/>
      <c r="F991" s="62"/>
      <c r="G991" s="62"/>
      <c r="H991" s="62"/>
      <c r="I991" s="79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143"/>
      <c r="V991" s="143"/>
      <c r="W991" s="143"/>
      <c r="X991" s="62"/>
      <c r="Y991" s="62"/>
      <c r="Z991" s="143"/>
      <c r="AA991" s="143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78"/>
      <c r="BD991" s="78"/>
      <c r="BE991" s="62"/>
      <c r="BF991" s="62"/>
      <c r="BG991" s="62"/>
      <c r="BH991" s="62"/>
      <c r="BI991" s="62"/>
      <c r="BJ991" s="62"/>
      <c r="BK991" s="62"/>
      <c r="BL991" s="62"/>
      <c r="BM991" s="62"/>
      <c r="BN991" s="62"/>
      <c r="BO991" s="62"/>
      <c r="BP991" s="62"/>
      <c r="BQ991" s="62"/>
      <c r="BR991" s="62"/>
      <c r="BS991" s="62"/>
      <c r="BT991" s="62"/>
      <c r="BU991" s="62"/>
      <c r="BV991" s="62"/>
      <c r="BW991" s="62"/>
      <c r="BX991" s="62"/>
      <c r="BY991" s="62"/>
      <c r="BZ991" s="62"/>
      <c r="CA991" s="62"/>
      <c r="CB991" s="62"/>
    </row>
    <row r="992" ht="15.75" customHeight="1">
      <c r="A992" s="62"/>
      <c r="B992" s="79"/>
      <c r="C992" s="62"/>
      <c r="D992" s="62"/>
      <c r="E992" s="74"/>
      <c r="F992" s="62"/>
      <c r="G992" s="62"/>
      <c r="H992" s="62"/>
      <c r="I992" s="79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143"/>
      <c r="V992" s="143"/>
      <c r="W992" s="143"/>
      <c r="X992" s="62"/>
      <c r="Y992" s="62"/>
      <c r="Z992" s="143"/>
      <c r="AA992" s="143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78"/>
      <c r="BD992" s="78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  <c r="BP992" s="62"/>
      <c r="BQ992" s="62"/>
      <c r="BR992" s="62"/>
      <c r="BS992" s="62"/>
      <c r="BT992" s="62"/>
      <c r="BU992" s="62"/>
      <c r="BV992" s="62"/>
      <c r="BW992" s="62"/>
      <c r="BX992" s="62"/>
      <c r="BY992" s="62"/>
      <c r="BZ992" s="62"/>
      <c r="CA992" s="62"/>
      <c r="CB992" s="62"/>
    </row>
    <row r="993" ht="15.75" customHeight="1">
      <c r="A993" s="62"/>
      <c r="B993" s="79"/>
      <c r="C993" s="62"/>
      <c r="D993" s="62"/>
      <c r="E993" s="74"/>
      <c r="F993" s="62"/>
      <c r="G993" s="62"/>
      <c r="H993" s="62"/>
      <c r="I993" s="79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143"/>
      <c r="V993" s="143"/>
      <c r="W993" s="143"/>
      <c r="X993" s="62"/>
      <c r="Y993" s="62"/>
      <c r="Z993" s="143"/>
      <c r="AA993" s="143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78"/>
      <c r="BD993" s="78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  <c r="BP993" s="62"/>
      <c r="BQ993" s="62"/>
      <c r="BR993" s="62"/>
      <c r="BS993" s="62"/>
      <c r="BT993" s="62"/>
      <c r="BU993" s="62"/>
      <c r="BV993" s="62"/>
      <c r="BW993" s="62"/>
      <c r="BX993" s="62"/>
      <c r="BY993" s="62"/>
      <c r="BZ993" s="62"/>
      <c r="CA993" s="62"/>
      <c r="CB993" s="62"/>
    </row>
    <row r="994" ht="15.75" customHeight="1">
      <c r="A994" s="62"/>
      <c r="B994" s="79"/>
      <c r="C994" s="62"/>
      <c r="D994" s="62"/>
      <c r="E994" s="74"/>
      <c r="F994" s="62"/>
      <c r="G994" s="62"/>
      <c r="H994" s="62"/>
      <c r="I994" s="79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143"/>
      <c r="V994" s="143"/>
      <c r="W994" s="143"/>
      <c r="X994" s="62"/>
      <c r="Y994" s="62"/>
      <c r="Z994" s="143"/>
      <c r="AA994" s="143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78"/>
      <c r="BD994" s="78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  <c r="BP994" s="62"/>
      <c r="BQ994" s="62"/>
      <c r="BR994" s="62"/>
      <c r="BS994" s="62"/>
      <c r="BT994" s="62"/>
      <c r="BU994" s="62"/>
      <c r="BV994" s="62"/>
      <c r="BW994" s="62"/>
      <c r="BX994" s="62"/>
      <c r="BY994" s="62"/>
      <c r="BZ994" s="62"/>
      <c r="CA994" s="62"/>
      <c r="CB994" s="62"/>
    </row>
    <row r="995" ht="15.75" customHeight="1">
      <c r="A995" s="62"/>
      <c r="B995" s="79"/>
      <c r="C995" s="62"/>
      <c r="D995" s="62"/>
      <c r="E995" s="74"/>
      <c r="F995" s="62"/>
      <c r="G995" s="62"/>
      <c r="H995" s="62"/>
      <c r="I995" s="79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143"/>
      <c r="V995" s="143"/>
      <c r="W995" s="143"/>
      <c r="X995" s="62"/>
      <c r="Y995" s="62"/>
      <c r="Z995" s="143"/>
      <c r="AA995" s="143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78"/>
      <c r="BD995" s="78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  <c r="BP995" s="62"/>
      <c r="BQ995" s="62"/>
      <c r="BR995" s="62"/>
      <c r="BS995" s="62"/>
      <c r="BT995" s="62"/>
      <c r="BU995" s="62"/>
      <c r="BV995" s="62"/>
      <c r="BW995" s="62"/>
      <c r="BX995" s="62"/>
      <c r="BY995" s="62"/>
      <c r="BZ995" s="62"/>
      <c r="CA995" s="62"/>
      <c r="CB995" s="62"/>
    </row>
    <row r="996" ht="15.75" customHeight="1">
      <c r="A996" s="62"/>
      <c r="B996" s="79"/>
      <c r="C996" s="62"/>
      <c r="D996" s="62"/>
      <c r="E996" s="74"/>
      <c r="F996" s="62"/>
      <c r="G996" s="62"/>
      <c r="H996" s="62"/>
      <c r="I996" s="79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143"/>
      <c r="V996" s="143"/>
      <c r="W996" s="143"/>
      <c r="X996" s="62"/>
      <c r="Y996" s="62"/>
      <c r="Z996" s="143"/>
      <c r="AA996" s="143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78"/>
      <c r="BD996" s="78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2"/>
      <c r="BP996" s="62"/>
      <c r="BQ996" s="62"/>
      <c r="BR996" s="62"/>
      <c r="BS996" s="62"/>
      <c r="BT996" s="62"/>
      <c r="BU996" s="62"/>
      <c r="BV996" s="62"/>
      <c r="BW996" s="62"/>
      <c r="BX996" s="62"/>
      <c r="BY996" s="62"/>
      <c r="BZ996" s="62"/>
      <c r="CA996" s="62"/>
      <c r="CB996" s="62"/>
    </row>
    <row r="997" ht="15.75" customHeight="1">
      <c r="A997" s="62"/>
      <c r="B997" s="79"/>
      <c r="C997" s="62"/>
      <c r="D997" s="62"/>
      <c r="E997" s="74"/>
      <c r="F997" s="62"/>
      <c r="G997" s="62"/>
      <c r="H997" s="62"/>
      <c r="I997" s="79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143"/>
      <c r="V997" s="143"/>
      <c r="W997" s="143"/>
      <c r="X997" s="62"/>
      <c r="Y997" s="62"/>
      <c r="Z997" s="143"/>
      <c r="AA997" s="143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78"/>
      <c r="BD997" s="78"/>
      <c r="BE997" s="62"/>
      <c r="BF997" s="62"/>
      <c r="BG997" s="62"/>
      <c r="BH997" s="62"/>
      <c r="BI997" s="62"/>
      <c r="BJ997" s="62"/>
      <c r="BK997" s="62"/>
      <c r="BL997" s="62"/>
      <c r="BM997" s="62"/>
      <c r="BN997" s="62"/>
      <c r="BO997" s="62"/>
      <c r="BP997" s="62"/>
      <c r="BQ997" s="62"/>
      <c r="BR997" s="62"/>
      <c r="BS997" s="62"/>
      <c r="BT997" s="62"/>
      <c r="BU997" s="62"/>
      <c r="BV997" s="62"/>
      <c r="BW997" s="62"/>
      <c r="BX997" s="62"/>
      <c r="BY997" s="62"/>
      <c r="BZ997" s="62"/>
      <c r="CA997" s="62"/>
      <c r="CB997" s="62"/>
    </row>
    <row r="998" ht="15.75" customHeight="1">
      <c r="A998" s="62"/>
      <c r="B998" s="79"/>
      <c r="C998" s="62"/>
      <c r="D998" s="62"/>
      <c r="E998" s="74"/>
      <c r="F998" s="62"/>
      <c r="G998" s="62"/>
      <c r="H998" s="62"/>
      <c r="I998" s="79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143"/>
      <c r="V998" s="143"/>
      <c r="W998" s="143"/>
      <c r="X998" s="62"/>
      <c r="Y998" s="62"/>
      <c r="Z998" s="143"/>
      <c r="AA998" s="143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78"/>
      <c r="BD998" s="78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</row>
    <row r="999" ht="15.75" customHeight="1">
      <c r="A999" s="62"/>
      <c r="B999" s="79"/>
      <c r="C999" s="62"/>
      <c r="D999" s="62"/>
      <c r="E999" s="74"/>
      <c r="F999" s="62"/>
      <c r="G999" s="62"/>
      <c r="H999" s="62"/>
      <c r="I999" s="79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143"/>
      <c r="V999" s="143"/>
      <c r="W999" s="143"/>
      <c r="X999" s="62"/>
      <c r="Y999" s="62"/>
      <c r="Z999" s="143"/>
      <c r="AA999" s="143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78"/>
      <c r="BD999" s="78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</row>
    <row r="1000" ht="15.75" customHeight="1">
      <c r="A1000" s="62"/>
      <c r="B1000" s="79"/>
      <c r="C1000" s="62"/>
      <c r="D1000" s="62"/>
      <c r="E1000" s="74"/>
      <c r="F1000" s="62"/>
      <c r="G1000" s="62"/>
      <c r="H1000" s="62"/>
      <c r="I1000" s="79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143"/>
      <c r="V1000" s="143"/>
      <c r="W1000" s="143"/>
      <c r="X1000" s="62"/>
      <c r="Y1000" s="62"/>
      <c r="Z1000" s="143"/>
      <c r="AA1000" s="143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78"/>
      <c r="BD1000" s="78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</row>
  </sheetData>
  <mergeCells count="21">
    <mergeCell ref="T1:AN1"/>
    <mergeCell ref="AO1:AX1"/>
    <mergeCell ref="T2:AC2"/>
    <mergeCell ref="AF2:AG2"/>
    <mergeCell ref="AH2:AI2"/>
    <mergeCell ref="AJ2:AK2"/>
    <mergeCell ref="E23:J23"/>
    <mergeCell ref="B186:C186"/>
    <mergeCell ref="B188:C188"/>
    <mergeCell ref="B237:C237"/>
    <mergeCell ref="E237:J237"/>
    <mergeCell ref="B239:C239"/>
    <mergeCell ref="B262:C262"/>
    <mergeCell ref="E262:J262"/>
    <mergeCell ref="B23:C23"/>
    <mergeCell ref="B25:C25"/>
    <mergeCell ref="B40:C40"/>
    <mergeCell ref="E40:J40"/>
    <mergeCell ref="B42:C42"/>
    <mergeCell ref="B158:BC158"/>
    <mergeCell ref="E186:J186"/>
  </mergeCells>
  <printOptions/>
  <pageMargins bottom="0.75" footer="0.0" header="0.0" left="0.7" right="0.7" top="0.75"/>
  <pageSetup paperSize="3" orientation="landscape"/>
  <drawing r:id="rId2"/>
  <legacyDrawing r:id="rId3"/>
</worksheet>
</file>